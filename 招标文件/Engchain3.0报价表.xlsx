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说明" sheetId="1" state="visible" r:id="rId1"/>
    <sheet xmlns:r="http://schemas.openxmlformats.org/officeDocument/2006/relationships" name="报价表" sheetId="2" state="visible" r:id="rId2"/>
    <sheet xmlns:r="http://schemas.openxmlformats.org/officeDocument/2006/relationships" name="报价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/>
    <font>
      <b val="1"/>
    </font>
    <font>
      <b val="1"/>
      <sz val="13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7E6"/>
      </patternFill>
    </fill>
    <fill>
      <patternFill patternType="solid">
        <fgColor rgb="00EEF3FA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3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0" customHeight="1">
      <c r="A1" s="1" t="inlineStr">
        <is>
          <t>ENGCHAIN 工程链 3.0 平台开发报价表 · 填报说明</t>
        </is>
      </c>
    </row>
    <row r="3" ht="18" customHeight="1">
      <c r="A3" s="2" t="inlineStr">
        <is>
          <t>一、项目基本信息</t>
        </is>
      </c>
      <c r="B3" t="inlineStr"/>
    </row>
    <row r="4" ht="18" customHeight="1">
      <c r="A4" s="3" t="inlineStr">
        <is>
          <t>项目名称</t>
        </is>
      </c>
      <c r="B4" t="inlineStr">
        <is>
          <t>ENGCHAIN 工程链 3.0 平台开发（用户端 Web + 管理后台 + 4 小程序 + 3 App）</t>
        </is>
      </c>
    </row>
    <row r="5" ht="18" customHeight="1">
      <c r="A5" s="3" t="inlineStr">
        <is>
          <t>招标方式</t>
        </is>
      </c>
      <c r="B5" t="inlineStr">
        <is>
          <t>邀请比价（邀标）</t>
        </is>
      </c>
    </row>
    <row r="6" ht="18" customHeight="1">
      <c r="A6" s="3" t="inlineStr">
        <is>
          <t>项目预算</t>
        </is>
      </c>
      <c r="B6" t="inlineStr">
        <is>
          <t>人民币 15 万元（含税总价上限）</t>
        </is>
      </c>
    </row>
    <row r="7" ht="18" customHeight="1">
      <c r="A7" s="3" t="inlineStr">
        <is>
          <t>项目工期</t>
        </is>
      </c>
      <c r="B7" t="inlineStr">
        <is>
          <t>3 个月（自合同签订之日起）</t>
        </is>
      </c>
    </row>
    <row r="8" ht="18" customHeight="1">
      <c r="A8" s="2" t="inlineStr"/>
      <c r="B8" t="inlineStr"/>
    </row>
    <row r="9" ht="18" customHeight="1">
      <c r="A9" s="2" t="inlineStr">
        <is>
          <t>二、报价口径</t>
        </is>
      </c>
      <c r="B9" t="inlineStr"/>
    </row>
    <row r="10" ht="18" customHeight="1">
      <c r="A10" s="3" t="inlineStr">
        <is>
          <t>1. 含税报价</t>
        </is>
      </c>
      <c r="B10" t="inlineStr">
        <is>
          <t>报价表内全部金额均为含税人民币报价（默认增值税专用发票，税率如有不同请在备注说明）。</t>
        </is>
      </c>
    </row>
    <row r="11" ht="18" customHeight="1">
      <c r="A11" s="3" t="inlineStr">
        <is>
          <t>2. 填报方式</t>
        </is>
      </c>
      <c r="B11" t="inlineStr">
        <is>
          <t>请在「报价表」工作表中填写黄色单元格（报价人天、人天单价、备注）；小计与合计由公式自动计算，请勿修改公式。</t>
        </is>
      </c>
    </row>
    <row r="12" ht="18" customHeight="1">
      <c r="A12" s="3" t="inlineStr">
        <is>
          <t>3. 分模块报价</t>
        </is>
      </c>
      <c r="B12" t="inlineStr">
        <is>
          <t>各功能模块按工作项独立报价，报价应覆盖需求书所列全部需求要点（含后端、数据库、多端适配与第三方联调）。</t>
        </is>
      </c>
    </row>
    <row r="13" ht="18" customHeight="1">
      <c r="A13" s="3" t="inlineStr">
        <is>
          <t>4. 实施周期</t>
        </is>
      </c>
      <c r="B13" t="inlineStr">
        <is>
          <t>请在报价汇总中承诺总实施周期（天），并建议给出 M1/M2/M3 各阶段完成时间。</t>
        </is>
      </c>
    </row>
    <row r="14" ht="18" customHeight="1">
      <c r="A14" s="3" t="inlineStr">
        <is>
          <t>5. 免费维护期</t>
        </is>
      </c>
      <c r="B14" t="inlineStr">
        <is>
          <t>请承诺验收通过后的免费维护期（建议不少于 1 个月），超出部分另行报价。</t>
        </is>
      </c>
    </row>
    <row r="15" ht="18" customHeight="1">
      <c r="A15" s="3" t="inlineStr">
        <is>
          <t>6. 增项计价</t>
        </is>
      </c>
      <c r="B15" t="inlineStr">
        <is>
          <t>超出本需求书范围的增项需求，按填报的人天单价另行计价。</t>
        </is>
      </c>
    </row>
    <row r="16" ht="18" customHeight="1">
      <c r="A16" s="3" t="inlineStr">
        <is>
          <t>7. 付款节点</t>
        </is>
      </c>
      <c r="B16" t="inlineStr">
        <is>
          <t>建议：签约 30%、M1 验收 30%、M2 验收 20%、上线验收 20%；以商务合同为准。</t>
        </is>
      </c>
    </row>
    <row r="17" ht="18" customHeight="1">
      <c r="A17" s="2" t="inlineStr"/>
      <c r="B17" t="inlineStr"/>
    </row>
    <row r="18" ht="18" customHeight="1">
      <c r="A18" s="2" t="inlineStr">
        <is>
          <t>三、投标材料</t>
        </is>
      </c>
      <c r="B18" t="inlineStr">
        <is>
          <t>报价表（本表）、营业执照、同类项目案例 1-2 个（附截图或链接）、团队配置与排期承诺。</t>
        </is>
      </c>
    </row>
    <row r="19" ht="18" customHeight="1">
      <c r="A19" s="2" t="inlineStr"/>
      <c r="B19" t="inlineStr"/>
    </row>
    <row r="20" ht="18" customHeight="1">
      <c r="A20" s="2" t="inlineStr">
        <is>
          <t>四、联系方式</t>
        </is>
      </c>
      <c r="B20" t="inlineStr">
        <is>
          <t>联系人：【待填写】；电话/邮箱：【待填写】；回标截止：【待填写】。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52" customWidth="1" min="3" max="3"/>
    <col width="10" customWidth="1" min="4" max="4"/>
    <col width="12" customWidth="1" min="5" max="5"/>
    <col width="12" customWidth="1" min="6" max="6"/>
    <col width="18" customWidth="1" min="7" max="7"/>
  </cols>
  <sheetData>
    <row r="1" ht="26" customHeight="1">
      <c r="A1" s="4" t="inlineStr">
        <is>
          <t>ENGCHAIN 工程链 3.0 平台开发报价表（黄色单元格由乙方填写）</t>
        </is>
      </c>
    </row>
    <row r="2">
      <c r="A2" s="5" t="inlineStr">
        <is>
          <t>编号</t>
        </is>
      </c>
      <c r="B2" s="5" t="inlineStr">
        <is>
          <t>报价项</t>
        </is>
      </c>
      <c r="C2" s="5" t="inlineStr">
        <is>
          <t>需求说明</t>
        </is>
      </c>
      <c r="D2" s="5" t="inlineStr">
        <is>
          <t>报价人天</t>
        </is>
      </c>
      <c r="E2" s="5" t="inlineStr">
        <is>
          <t>人天单价（元）</t>
        </is>
      </c>
      <c r="F2" s="5" t="inlineStr">
        <is>
          <t>小计（元）</t>
        </is>
      </c>
      <c r="G2" s="5" t="inlineStr">
        <is>
          <t>备注</t>
        </is>
      </c>
    </row>
    <row r="3">
      <c r="A3" s="6" t="inlineStr">
        <is>
          <t>A1</t>
        </is>
      </c>
      <c r="B3" s="7" t="inlineStr">
        <is>
          <t>账号体系与认证</t>
        </is>
      </c>
      <c r="C3" s="7" t="inlineStr">
        <is>
          <t>注册/登录（短信验证码）、多级实名认证（个人/企业工商/合伙人/资质）、认证审核联动、封禁与资金冻结</t>
        </is>
      </c>
      <c r="D3" s="8" t="n"/>
      <c r="E3" s="9" t="n"/>
      <c r="F3" s="10">
        <f>IF(OR(D3="",E3=""),"",D3*E3)</f>
        <v/>
      </c>
      <c r="G3" s="11" t="n"/>
    </row>
    <row r="4">
      <c r="A4" s="6" t="inlineStr">
        <is>
          <t>A2</t>
        </is>
      </c>
      <c r="B4" s="7" t="inlineStr">
        <is>
          <t>消息与沟通</t>
        </is>
      </c>
      <c r="C4" s="7" t="inlineStr">
        <is>
          <t>消息列表、双人聊天 IM、系统消息、订阅通知与消息推送</t>
        </is>
      </c>
      <c r="D4" s="8" t="n"/>
      <c r="E4" s="9" t="n"/>
      <c r="F4" s="10">
        <f>IF(OR(D4="",E4=""),"",D4*E4)</f>
        <v/>
      </c>
      <c r="G4" s="11" t="n"/>
    </row>
    <row r="5">
      <c r="A5" s="6" t="inlineStr">
        <is>
          <t>A3</t>
        </is>
      </c>
      <c r="B5" s="7" t="inlineStr">
        <is>
          <t>搜索与匹配</t>
        </is>
      </c>
      <c r="C5" s="7" t="inlineStr">
        <is>
          <t>全文搜索、筛选排序、匹配度排序、匹配偏好设置</t>
        </is>
      </c>
      <c r="D5" s="8" t="n"/>
      <c r="E5" s="9" t="n"/>
      <c r="F5" s="10">
        <f>IF(OR(D5="",E5=""),"",D5*E5)</f>
        <v/>
      </c>
      <c r="G5" s="11" t="n"/>
    </row>
    <row r="6">
      <c r="A6" s="6" t="inlineStr">
        <is>
          <t>A4</t>
        </is>
      </c>
      <c r="B6" s="7" t="inlineStr">
        <is>
          <t>管理后台框架与权限</t>
        </is>
      </c>
      <c r="C6" s="7" t="inlineStr">
        <is>
          <t>后台基础框架、RBAC 角色权限、操作日志</t>
        </is>
      </c>
      <c r="D6" s="8" t="n"/>
      <c r="E6" s="9" t="n"/>
      <c r="F6" s="10">
        <f>IF(OR(D6="",E6=""),"",D6*E6)</f>
        <v/>
      </c>
      <c r="G6" s="11" t="n"/>
    </row>
    <row r="7">
      <c r="A7" s="6" t="inlineStr">
        <is>
          <t>A5</t>
        </is>
      </c>
      <c r="B7" s="7" t="inlineStr">
        <is>
          <t>数据迁移</t>
        </is>
      </c>
      <c r="C7" s="7" t="inlineStr">
        <is>
          <t>现有原型示例数据迁移至正式数据库</t>
        </is>
      </c>
      <c r="D7" s="8" t="n"/>
      <c r="E7" s="9" t="n"/>
      <c r="F7" s="10">
        <f>IF(OR(D7="",E7=""),"",D7*E7)</f>
        <v/>
      </c>
      <c r="G7" s="11" t="n"/>
    </row>
    <row r="8">
      <c r="A8" s="12" t="inlineStr">
        <is>
          <t>A 平台基础 小计</t>
        </is>
      </c>
      <c r="B8" s="12" t="n"/>
      <c r="C8" s="12" t="n"/>
      <c r="D8" s="13">
        <f>SUM(D3:D7)</f>
        <v/>
      </c>
      <c r="E8" s="14">
        <f>ROUND(SUM(F3:F7)/IF(SUM(D3:D7)=0,1,SUM(D3:D7)),0)</f>
        <v/>
      </c>
      <c r="F8" s="14">
        <f>SUM(F3:F7)</f>
        <v/>
      </c>
      <c r="G8" s="12" t="n"/>
    </row>
    <row r="9">
      <c r="A9" s="6" t="inlineStr">
        <is>
          <t>B1</t>
        </is>
      </c>
      <c r="B9" s="7" t="inlineStr">
        <is>
          <t>信息发布与供需</t>
        </is>
      </c>
      <c r="C9" s="7" t="inlineStr">
        <is>
          <t>9 类信息编辑器、草稿箱、发布审核与上下架、我的发布</t>
        </is>
      </c>
      <c r="D9" s="8" t="n"/>
      <c r="E9" s="9" t="n"/>
      <c r="F9" s="10">
        <f>IF(OR(D9="",E9=""),"",D9*E9)</f>
        <v/>
      </c>
      <c r="G9" s="11" t="n"/>
    </row>
    <row r="10">
      <c r="A10" s="6" t="inlineStr">
        <is>
          <t>B2</t>
        </is>
      </c>
      <c r="B10" s="7" t="inlineStr">
        <is>
          <t>线索解锁与免费额度</t>
        </is>
      </c>
      <c r="C10" s="7" t="inlineStr">
        <is>
          <t>积分/余额付费解锁联系方式、免费额度控制、解锁记录</t>
        </is>
      </c>
      <c r="D10" s="8" t="n"/>
      <c r="E10" s="9" t="n"/>
      <c r="F10" s="10">
        <f>IF(OR(D10="",E10=""),"",D10*E10)</f>
        <v/>
      </c>
      <c r="G10" s="11" t="n"/>
    </row>
    <row r="11">
      <c r="A11" s="6" t="inlineStr">
        <is>
          <t>B3</t>
        </is>
      </c>
      <c r="B11" s="7" t="inlineStr">
        <is>
          <t>订单系统</t>
        </is>
      </c>
      <c r="C11" s="7" t="inlineStr">
        <is>
          <t>普通订单与中介托管订单、状态机流转（待支付/进行中/待验收/已完成/已退款）</t>
        </is>
      </c>
      <c r="D11" s="8" t="n"/>
      <c r="E11" s="9" t="n"/>
      <c r="F11" s="10">
        <f>IF(OR(D11="",E11=""),"",D11*E11)</f>
        <v/>
      </c>
      <c r="G11" s="11" t="n"/>
    </row>
    <row r="12">
      <c r="A12" s="6" t="inlineStr">
        <is>
          <t>B4</t>
        </is>
      </c>
      <c r="B12" s="7" t="inlineStr">
        <is>
          <t>资金托管</t>
        </is>
      </c>
      <c r="C12" s="7" t="inlineStr">
        <is>
          <t>建设银行托管对接（冻结/验收打款/14 天自动确认/异议仲裁）、托管资金台账</t>
        </is>
      </c>
      <c r="D12" s="8" t="n"/>
      <c r="E12" s="9" t="n"/>
      <c r="F12" s="10">
        <f>IF(OR(D12="",E12=""),"",D12*E12)</f>
        <v/>
      </c>
      <c r="G12" s="11" t="n"/>
    </row>
    <row r="13">
      <c r="A13" s="6" t="inlineStr">
        <is>
          <t>B5</t>
        </is>
      </c>
      <c r="B13" s="7" t="inlineStr">
        <is>
          <t>退款与申诉</t>
        </is>
      </c>
      <c r="C13" s="7" t="inlineStr">
        <is>
          <t>7 天无理由退款、申诉与平台仲裁流程</t>
        </is>
      </c>
      <c r="D13" s="8" t="n"/>
      <c r="E13" s="9" t="n"/>
      <c r="F13" s="10">
        <f>IF(OR(D13="",E13=""),"",D13*E13)</f>
        <v/>
      </c>
      <c r="G13" s="11" t="n"/>
    </row>
    <row r="14">
      <c r="A14" s="12" t="inlineStr">
        <is>
          <t>B 核心交易 小计</t>
        </is>
      </c>
      <c r="B14" s="12" t="n"/>
      <c r="C14" s="12" t="n"/>
      <c r="D14" s="13">
        <f>SUM(D9:D13)</f>
        <v/>
      </c>
      <c r="E14" s="14">
        <f>ROUND(SUM(F9:F13)/IF(SUM(D9:D13)=0,1,SUM(D9:D13)),0)</f>
        <v/>
      </c>
      <c r="F14" s="14">
        <f>SUM(F9:F13)</f>
        <v/>
      </c>
      <c r="G14" s="12" t="n"/>
    </row>
    <row r="15">
      <c r="A15" s="6" t="inlineStr">
        <is>
          <t>C1</t>
        </is>
      </c>
      <c r="B15" s="7" t="inlineStr">
        <is>
          <t>钱包账户</t>
        </is>
      </c>
      <c r="C15" s="7" t="inlineStr">
        <is>
          <t>余额账户（可用/在途/冻结）、收支明细流水</t>
        </is>
      </c>
      <c r="D15" s="8" t="n"/>
      <c r="E15" s="9" t="n"/>
      <c r="F15" s="10">
        <f>IF(OR(D15="",E15=""),"",D15*E15)</f>
        <v/>
      </c>
      <c r="G15" s="11" t="n"/>
    </row>
    <row r="16">
      <c r="A16" s="6" t="inlineStr">
        <is>
          <t>C2</t>
        </is>
      </c>
      <c r="B16" s="7" t="inlineStr">
        <is>
          <t>充值</t>
        </is>
      </c>
      <c r="C16" s="7" t="inlineStr">
        <is>
          <t>微信支付、支付宝、对公转账确认（后台审批）</t>
        </is>
      </c>
      <c r="D16" s="8" t="n"/>
      <c r="E16" s="9" t="n"/>
      <c r="F16" s="10">
        <f>IF(OR(D16="",E16=""),"",D16*E16)</f>
        <v/>
      </c>
      <c r="G16" s="11" t="n"/>
    </row>
    <row r="17">
      <c r="A17" s="6" t="inlineStr">
        <is>
          <t>C3</t>
        </is>
      </c>
      <c r="B17" s="7" t="inlineStr">
        <is>
          <t>提现</t>
        </is>
      </c>
      <c r="C17" s="7" t="inlineStr">
        <is>
          <t>提现两级审批、T+0/T+1 到账、银行卡管理</t>
        </is>
      </c>
      <c r="D17" s="8" t="n"/>
      <c r="E17" s="9" t="n"/>
      <c r="F17" s="10">
        <f>IF(OR(D17="",E17=""),"",D17*E17)</f>
        <v/>
      </c>
      <c r="G17" s="11" t="n"/>
    </row>
    <row r="18">
      <c r="A18" s="6" t="inlineStr">
        <is>
          <t>C4</t>
        </is>
      </c>
      <c r="B18" s="7" t="inlineStr">
        <is>
          <t>积分体系</t>
        </is>
      </c>
      <c r="C18" s="7" t="inlineStr">
        <is>
          <t>积分获取/消耗规则、积分抵现、积分商城</t>
        </is>
      </c>
      <c r="D18" s="8" t="n"/>
      <c r="E18" s="9" t="n"/>
      <c r="F18" s="10">
        <f>IF(OR(D18="",E18=""),"",D18*E18)</f>
        <v/>
      </c>
      <c r="G18" s="11" t="n"/>
    </row>
    <row r="19">
      <c r="A19" s="6" t="inlineStr">
        <is>
          <t>C5</t>
        </is>
      </c>
      <c r="B19" s="7" t="inlineStr">
        <is>
          <t>发票管理</t>
        </is>
      </c>
      <c r="C19" s="7" t="inlineStr">
        <is>
          <t>抬头管理、开票信息维护、开票申请与记录</t>
        </is>
      </c>
      <c r="D19" s="8" t="n"/>
      <c r="E19" s="9" t="n"/>
      <c r="F19" s="10">
        <f>IF(OR(D19="",E19=""),"",D19*E19)</f>
        <v/>
      </c>
      <c r="G19" s="11" t="n"/>
    </row>
    <row r="20">
      <c r="A20" s="6" t="inlineStr">
        <is>
          <t>C6</t>
        </is>
      </c>
      <c r="B20" s="7" t="inlineStr">
        <is>
          <t>年度会员与免费额度</t>
        </is>
      </c>
      <c r="C20" s="7" t="inlineStr">
        <is>
          <t>会员权益、免费额度规则与配置</t>
        </is>
      </c>
      <c r="D20" s="8" t="n"/>
      <c r="E20" s="9" t="n"/>
      <c r="F20" s="10">
        <f>IF(OR(D20="",E20=""),"",D20*E20)</f>
        <v/>
      </c>
      <c r="G20" s="11" t="n"/>
    </row>
    <row r="21">
      <c r="A21" s="12" t="inlineStr">
        <is>
          <t>C 资金与金融 小计</t>
        </is>
      </c>
      <c r="B21" s="12" t="n"/>
      <c r="C21" s="12" t="n"/>
      <c r="D21" s="13">
        <f>SUM(D15:D20)</f>
        <v/>
      </c>
      <c r="E21" s="14">
        <f>ROUND(SUM(F15:F20)/IF(SUM(D15:D20)=0,1,SUM(D15:D20)),0)</f>
        <v/>
      </c>
      <c r="F21" s="14">
        <f>SUM(F15:F20)</f>
        <v/>
      </c>
      <c r="G21" s="12" t="n"/>
    </row>
    <row r="22">
      <c r="A22" s="6" t="inlineStr">
        <is>
          <t>D1</t>
        </is>
      </c>
      <c r="B22" s="7" t="inlineStr">
        <is>
          <t>分销体系</t>
        </is>
      </c>
      <c r="C22" s="7" t="inlineStr">
        <is>
          <t>合规二级返佣、T+1 结算（售后无退款后发放）、满 100 元提现、邀请码/推广海报、团队关系</t>
        </is>
      </c>
      <c r="D22" s="8" t="n"/>
      <c r="E22" s="9" t="n"/>
      <c r="F22" s="10">
        <f>IF(OR(D22="",E22=""),"",D22*E22)</f>
        <v/>
      </c>
      <c r="G22" s="11" t="n"/>
    </row>
    <row r="23">
      <c r="A23" s="6" t="inlineStr">
        <is>
          <t>D2</t>
        </is>
      </c>
      <c r="B23" s="7" t="inlineStr">
        <is>
          <t>中介服务</t>
        </is>
      </c>
      <c r="C23" s="7" t="inlineStr">
        <is>
          <t>服务需求发布与机构匹配、在线下单、服务商工作台、佣金结算</t>
        </is>
      </c>
      <c r="D23" s="8" t="n"/>
      <c r="E23" s="9" t="n"/>
      <c r="F23" s="10">
        <f>IF(OR(D23="",E23=""),"",D23*E23)</f>
        <v/>
      </c>
      <c r="G23" s="11" t="n"/>
    </row>
    <row r="24">
      <c r="A24" s="6" t="inlineStr">
        <is>
          <t>D3</t>
        </is>
      </c>
      <c r="B24" s="7" t="inlineStr">
        <is>
          <t>资质招商</t>
        </is>
      </c>
      <c r="C24" s="7" t="inlineStr">
        <is>
          <t>招商企业列表（资质核验）、分公司加盟、委托提交与顾问 1 对 1、委托状态流转</t>
        </is>
      </c>
      <c r="D24" s="8" t="n"/>
      <c r="E24" s="9" t="n"/>
      <c r="F24" s="10">
        <f>IF(OR(D24="",E24=""),"",D24*E24)</f>
        <v/>
      </c>
      <c r="G24" s="11" t="n"/>
    </row>
    <row r="25">
      <c r="A25" s="6" t="inlineStr">
        <is>
          <t>D4</t>
        </is>
      </c>
      <c r="B25" s="7" t="inlineStr">
        <is>
          <t>建企买卖</t>
        </is>
      </c>
      <c r="C25" s="7" t="inlineStr">
        <is>
          <t>转让/收购、信息脱敏、保证金（5000 元/30 天退还）、背调文件、尽调流程</t>
        </is>
      </c>
      <c r="D25" s="8" t="n"/>
      <c r="E25" s="9" t="n"/>
      <c r="F25" s="10">
        <f>IF(OR(D25="",E25=""),"",D25*E25)</f>
        <v/>
      </c>
      <c r="G25" s="11" t="n"/>
    </row>
    <row r="26">
      <c r="A26" s="6" t="inlineStr">
        <is>
          <t>D5</t>
        </is>
      </c>
      <c r="B26" s="7" t="inlineStr">
        <is>
          <t>人员招聘</t>
        </is>
      </c>
      <c r="C26" s="7" t="inlineStr">
        <is>
          <t>岗位发布与列表、证书核验（四库一平台）、企业付费查看、简历与投递</t>
        </is>
      </c>
      <c r="D26" s="8" t="n"/>
      <c r="E26" s="9" t="n"/>
      <c r="F26" s="10">
        <f>IF(OR(D26="",E26=""),"",D26*E26)</f>
        <v/>
      </c>
      <c r="G26" s="11" t="n"/>
    </row>
    <row r="27">
      <c r="A27" s="12" t="inlineStr">
        <is>
          <t>D 增值业务 小计</t>
        </is>
      </c>
      <c r="B27" s="12" t="n"/>
      <c r="C27" s="12" t="n"/>
      <c r="D27" s="13">
        <f>SUM(D22:D26)</f>
        <v/>
      </c>
      <c r="E27" s="14">
        <f>ROUND(SUM(F22:F26)/IF(SUM(D22:D26)=0,1,SUM(D22:D26)),0)</f>
        <v/>
      </c>
      <c r="F27" s="14">
        <f>SUM(F22:F26)</f>
        <v/>
      </c>
      <c r="G27" s="12" t="n"/>
    </row>
    <row r="28">
      <c r="A28" s="6" t="inlineStr">
        <is>
          <t>E1</t>
        </is>
      </c>
      <c r="B28" s="7" t="inlineStr">
        <is>
          <t>首页与频道运营</t>
        </is>
      </c>
      <c r="C28" s="7" t="inlineStr">
        <is>
          <t>首页频道（招商/转让/人才/服务/综合/资源/供需）、推荐位与运营配置</t>
        </is>
      </c>
      <c r="D28" s="8" t="n"/>
      <c r="E28" s="9" t="n"/>
      <c r="F28" s="10">
        <f>IF(OR(D28="",E28=""),"",D28*E28)</f>
        <v/>
      </c>
      <c r="G28" s="11" t="n"/>
    </row>
    <row r="29">
      <c r="A29" s="6" t="inlineStr">
        <is>
          <t>E2</t>
        </is>
      </c>
      <c r="B29" s="7" t="inlineStr">
        <is>
          <t>内容模块</t>
        </is>
      </c>
      <c r="C29" s="7" t="inlineStr">
        <is>
          <t>行业资讯、帮助中心、破冰期引导、共创者计划、企业监控</t>
        </is>
      </c>
      <c r="D29" s="8" t="n"/>
      <c r="E29" s="9" t="n"/>
      <c r="F29" s="10">
        <f>IF(OR(D29="",E29=""),"",D29*E29)</f>
        <v/>
      </c>
      <c r="G29" s="11" t="n"/>
    </row>
    <row r="30">
      <c r="A30" s="6" t="inlineStr">
        <is>
          <t>E3</t>
        </is>
      </c>
      <c r="B30" s="7" t="inlineStr">
        <is>
          <t>收藏与浏览历史</t>
        </is>
      </c>
      <c r="C30" s="7" t="inlineStr">
        <is>
          <t>收藏、浏览历史记录</t>
        </is>
      </c>
      <c r="D30" s="8" t="n"/>
      <c r="E30" s="9" t="n"/>
      <c r="F30" s="10">
        <f>IF(OR(D30="",E30=""),"",D30*E30)</f>
        <v/>
      </c>
      <c r="G30" s="11" t="n"/>
    </row>
    <row r="31">
      <c r="A31" s="12" t="inlineStr">
        <is>
          <t>E 内容与生态 小计</t>
        </is>
      </c>
      <c r="B31" s="12" t="n"/>
      <c r="C31" s="12" t="n"/>
      <c r="D31" s="13">
        <f>SUM(D28:D30)</f>
        <v/>
      </c>
      <c r="E31" s="14">
        <f>ROUND(SUM(F28:F30)/IF(SUM(D28:D30)=0,1,SUM(D28:D30)),0)</f>
        <v/>
      </c>
      <c r="F31" s="14">
        <f>SUM(F28:F30)</f>
        <v/>
      </c>
      <c r="G31" s="12" t="n"/>
    </row>
    <row r="32">
      <c r="A32" s="6" t="inlineStr">
        <is>
          <t>F1</t>
        </is>
      </c>
      <c r="B32" s="7" t="inlineStr">
        <is>
          <t>数据总览看板</t>
        </is>
      </c>
      <c r="C32" s="7" t="inlineStr">
        <is>
          <t>交易额、订单、用户、收入、佣金等核心指标统计</t>
        </is>
      </c>
      <c r="D32" s="8" t="n"/>
      <c r="E32" s="9" t="n"/>
      <c r="F32" s="10">
        <f>IF(OR(D32="",E32=""),"",D32*E32)</f>
        <v/>
      </c>
      <c r="G32" s="11" t="n"/>
    </row>
    <row r="33">
      <c r="A33" s="6" t="inlineStr">
        <is>
          <t>F2</t>
        </is>
      </c>
      <c r="B33" s="7" t="inlineStr">
        <is>
          <t>用户管理</t>
        </is>
      </c>
      <c r="C33" s="7" t="inlineStr">
        <is>
          <t>用户列表、认证审核、入驻审核（多级流转）</t>
        </is>
      </c>
      <c r="D33" s="8" t="n"/>
      <c r="E33" s="9" t="n"/>
      <c r="F33" s="10">
        <f>IF(OR(D33="",E33=""),"",D33*E33)</f>
        <v/>
      </c>
      <c r="G33" s="11" t="n"/>
    </row>
    <row r="34">
      <c r="A34" s="6" t="inlineStr">
        <is>
          <t>F3</t>
        </is>
      </c>
      <c r="B34" s="7" t="inlineStr">
        <is>
          <t>运营管理</t>
        </is>
      </c>
      <c r="C34" s="7" t="inlineStr">
        <is>
          <t>订单管理、供需管理（审核/上下架）、消息中心（通知/群发）</t>
        </is>
      </c>
      <c r="D34" s="8" t="n"/>
      <c r="E34" s="9" t="n"/>
      <c r="F34" s="10">
        <f>IF(OR(D34="",E34=""),"",D34*E34)</f>
        <v/>
      </c>
      <c r="G34" s="11" t="n"/>
    </row>
    <row r="35">
      <c r="A35" s="6" t="inlineStr">
        <is>
          <t>F4</t>
        </is>
      </c>
      <c r="B35" s="7" t="inlineStr">
        <is>
          <t>财务管理</t>
        </is>
      </c>
      <c r="C35" s="7" t="inlineStr">
        <is>
          <t>钱包总览、充值/对公审批、提现审批、佣金结算、积分管理、发票管理、收入看板</t>
        </is>
      </c>
      <c r="D35" s="8" t="n"/>
      <c r="E35" s="9" t="n"/>
      <c r="F35" s="10">
        <f>IF(OR(D35="",E35=""),"",D35*E35)</f>
        <v/>
      </c>
      <c r="G35" s="11" t="n"/>
    </row>
    <row r="36">
      <c r="A36" s="6" t="inlineStr">
        <is>
          <t>F5</t>
        </is>
      </c>
      <c r="B36" s="7" t="inlineStr">
        <is>
          <t>分销管理</t>
        </is>
      </c>
      <c r="C36" s="7" t="inlineStr">
        <is>
          <t>分销总览、返佣批次发放（定时）、团队关系树</t>
        </is>
      </c>
      <c r="D36" s="8" t="n"/>
      <c r="E36" s="9" t="n"/>
      <c r="F36" s="10">
        <f>IF(OR(D36="",E36=""),"",D36*E36)</f>
        <v/>
      </c>
      <c r="G36" s="11" t="n"/>
    </row>
    <row r="37">
      <c r="A37" s="6" t="inlineStr">
        <is>
          <t>F6</t>
        </is>
      </c>
      <c r="B37" s="7" t="inlineStr">
        <is>
          <t>中介托管</t>
        </is>
      </c>
      <c r="C37" s="7" t="inlineStr">
        <is>
          <t>托管资金台账、托管订单（验收/仲裁）、服务商管理</t>
        </is>
      </c>
      <c r="D37" s="8" t="n"/>
      <c r="E37" s="9" t="n"/>
      <c r="F37" s="10">
        <f>IF(OR(D37="",E37=""),"",D37*E37)</f>
        <v/>
      </c>
      <c r="G37" s="11" t="n"/>
    </row>
    <row r="38">
      <c r="A38" s="6" t="inlineStr">
        <is>
          <t>F7</t>
        </is>
      </c>
      <c r="B38" s="7" t="inlineStr">
        <is>
          <t>风控合规</t>
        </is>
      </c>
      <c r="C38" s="7" t="inlineStr">
        <is>
          <t>合规审计、合规管理、操作日志、企业监控</t>
        </is>
      </c>
      <c r="D38" s="8" t="n"/>
      <c r="E38" s="9" t="n"/>
      <c r="F38" s="10">
        <f>IF(OR(D38="",E38=""),"",D38*E38)</f>
        <v/>
      </c>
      <c r="G38" s="11" t="n"/>
    </row>
    <row r="39">
      <c r="A39" s="6" t="inlineStr">
        <is>
          <t>F8</t>
        </is>
      </c>
      <c r="B39" s="7" t="inlineStr">
        <is>
          <t>系统配置</t>
        </is>
      </c>
      <c r="C39" s="7" t="inlineStr">
        <is>
          <t>运营周期、定价配置、角色权限</t>
        </is>
      </c>
      <c r="D39" s="8" t="n"/>
      <c r="E39" s="9" t="n"/>
      <c r="F39" s="10">
        <f>IF(OR(D39="",E39=""),"",D39*E39)</f>
        <v/>
      </c>
      <c r="G39" s="11" t="n"/>
    </row>
    <row r="40">
      <c r="A40" s="12" t="inlineStr">
        <is>
          <t>F 管理后台 小计</t>
        </is>
      </c>
      <c r="B40" s="12" t="n"/>
      <c r="C40" s="12" t="n"/>
      <c r="D40" s="13">
        <f>SUM(D32:D39)</f>
        <v/>
      </c>
      <c r="E40" s="14">
        <f>ROUND(SUM(F32:F39)/IF(SUM(D32:D39)=0,1,SUM(D32:D39)),0)</f>
        <v/>
      </c>
      <c r="F40" s="14">
        <f>SUM(F32:F39)</f>
        <v/>
      </c>
      <c r="G40" s="12" t="n"/>
    </row>
    <row r="41">
      <c r="A41" s="6" t="inlineStr">
        <is>
          <t>G1</t>
        </is>
      </c>
      <c r="B41" s="7" t="inlineStr">
        <is>
          <t>微信小程序</t>
        </is>
      </c>
      <c r="C41" s="7" t="inlineStr">
        <is>
          <t>用户端核心功能适配、微信登录与微信支付</t>
        </is>
      </c>
      <c r="D41" s="8" t="n"/>
      <c r="E41" s="9" t="n"/>
      <c r="F41" s="10">
        <f>IF(OR(D41="",E41=""),"",D41*E41)</f>
        <v/>
      </c>
      <c r="G41" s="11" t="n"/>
    </row>
    <row r="42">
      <c r="A42" s="6" t="inlineStr">
        <is>
          <t>G2</t>
        </is>
      </c>
      <c r="B42" s="7" t="inlineStr">
        <is>
          <t>小红书小程序</t>
        </is>
      </c>
      <c r="C42" s="7" t="inlineStr">
        <is>
          <t>用户端核心功能适配</t>
        </is>
      </c>
      <c r="D42" s="8" t="n"/>
      <c r="E42" s="9" t="n"/>
      <c r="F42" s="10">
        <f>IF(OR(D42="",E42=""),"",D42*E42)</f>
        <v/>
      </c>
      <c r="G42" s="11" t="n"/>
    </row>
    <row r="43">
      <c r="A43" s="6" t="inlineStr">
        <is>
          <t>G3</t>
        </is>
      </c>
      <c r="B43" s="7" t="inlineStr">
        <is>
          <t>抖音小程序</t>
        </is>
      </c>
      <c r="C43" s="7" t="inlineStr">
        <is>
          <t>用户端核心功能适配</t>
        </is>
      </c>
      <c r="D43" s="8" t="n"/>
      <c r="E43" s="9" t="n"/>
      <c r="F43" s="10">
        <f>IF(OR(D43="",E43=""),"",D43*E43)</f>
        <v/>
      </c>
      <c r="G43" s="11" t="n"/>
    </row>
    <row r="44">
      <c r="A44" s="6" t="inlineStr">
        <is>
          <t>G4</t>
        </is>
      </c>
      <c r="B44" s="7" t="inlineStr">
        <is>
          <t>支付宝小程序</t>
        </is>
      </c>
      <c r="C44" s="7" t="inlineStr">
        <is>
          <t>用户端核心功能适配、支付宝支付</t>
        </is>
      </c>
      <c r="D44" s="8" t="n"/>
      <c r="E44" s="9" t="n"/>
      <c r="F44" s="10">
        <f>IF(OR(D44="",E44=""),"",D44*E44)</f>
        <v/>
      </c>
      <c r="G44" s="11" t="n"/>
    </row>
    <row r="45">
      <c r="A45" s="6" t="inlineStr">
        <is>
          <t>G5</t>
        </is>
      </c>
      <c r="B45" s="7" t="inlineStr">
        <is>
          <t>Android App</t>
        </is>
      </c>
      <c r="C45" s="7" t="inlineStr">
        <is>
          <t>用户端完整功能、推送、上架支持</t>
        </is>
      </c>
      <c r="D45" s="8" t="n"/>
      <c r="E45" s="9" t="n"/>
      <c r="F45" s="10">
        <f>IF(OR(D45="",E45=""),"",D45*E45)</f>
        <v/>
      </c>
      <c r="G45" s="11" t="n"/>
    </row>
    <row r="46">
      <c r="A46" s="6" t="inlineStr">
        <is>
          <t>G6</t>
        </is>
      </c>
      <c r="B46" s="7" t="inlineStr">
        <is>
          <t>iOS App</t>
        </is>
      </c>
      <c r="C46" s="7" t="inlineStr">
        <is>
          <t>用户端完整功能、推送、上架支持</t>
        </is>
      </c>
      <c r="D46" s="8" t="n"/>
      <c r="E46" s="9" t="n"/>
      <c r="F46" s="10">
        <f>IF(OR(D46="",E46=""),"",D46*E46)</f>
        <v/>
      </c>
      <c r="G46" s="11" t="n"/>
    </row>
    <row r="47">
      <c r="A47" s="6" t="inlineStr">
        <is>
          <t>G7</t>
        </is>
      </c>
      <c r="B47" s="7" t="inlineStr">
        <is>
          <t>鸿蒙 App</t>
        </is>
      </c>
      <c r="C47" s="7" t="inlineStr">
        <is>
          <t>用户端完整功能、推送、上架支持</t>
        </is>
      </c>
      <c r="D47" s="8" t="n"/>
      <c r="E47" s="9" t="n"/>
      <c r="F47" s="10">
        <f>IF(OR(D47="",E47=""),"",D47*E47)</f>
        <v/>
      </c>
      <c r="G47" s="11" t="n"/>
    </row>
    <row r="48">
      <c r="A48" s="6" t="inlineStr">
        <is>
          <t>G8</t>
        </is>
      </c>
      <c r="B48" s="7" t="inlineStr">
        <is>
          <t>腾讯云部署</t>
        </is>
      </c>
      <c r="C48" s="7" t="inlineStr">
        <is>
          <t>服务器、数据库、COS/CDN、短信、HTTPS、环境分离、灰度与回滚</t>
        </is>
      </c>
      <c r="D48" s="8" t="n"/>
      <c r="E48" s="9" t="n"/>
      <c r="F48" s="10">
        <f>IF(OR(D48="",E48=""),"",D48*E48)</f>
        <v/>
      </c>
      <c r="G48" s="11" t="n"/>
    </row>
    <row r="49">
      <c r="A49" s="6" t="inlineStr">
        <is>
          <t>G9</t>
        </is>
      </c>
      <c r="B49" s="7" t="inlineStr">
        <is>
          <t>第三方集成</t>
        </is>
      </c>
      <c r="C49" s="7" t="inlineStr">
        <is>
          <t>支付、实名认证、托管银行、证书核验等集成与联调</t>
        </is>
      </c>
      <c r="D49" s="8" t="n"/>
      <c r="E49" s="9" t="n"/>
      <c r="F49" s="10">
        <f>IF(OR(D49="",E49=""),"",D49*E49)</f>
        <v/>
      </c>
      <c r="G49" s="11" t="n"/>
    </row>
    <row r="50">
      <c r="A50" s="12" t="inlineStr">
        <is>
          <t>G 多端与部署 小计</t>
        </is>
      </c>
      <c r="B50" s="12" t="n"/>
      <c r="C50" s="12" t="n"/>
      <c r="D50" s="13">
        <f>SUM(D41:D49)</f>
        <v/>
      </c>
      <c r="E50" s="14">
        <f>ROUND(SUM(F41:F49)/IF(SUM(D41:D49)=0,1,SUM(D41:D49)),0)</f>
        <v/>
      </c>
      <c r="F50" s="14">
        <f>SUM(F41:F49)</f>
        <v/>
      </c>
      <c r="G50" s="12" t="n"/>
    </row>
    <row r="51">
      <c r="A51" s="6" t="inlineStr">
        <is>
          <t>H1</t>
        </is>
      </c>
      <c r="B51" s="7" t="inlineStr">
        <is>
          <t>测试</t>
        </is>
      </c>
      <c r="C51" s="7" t="inlineStr">
        <is>
          <t>功能测试、多端兼容测试、性能测试、安全测试</t>
        </is>
      </c>
      <c r="D51" s="8" t="n"/>
      <c r="E51" s="9" t="n"/>
      <c r="F51" s="10">
        <f>IF(OR(D51="",E51=""),"",D51*E51)</f>
        <v/>
      </c>
      <c r="G51" s="11" t="n"/>
    </row>
    <row r="52">
      <c r="A52" s="6" t="inlineStr">
        <is>
          <t>H2</t>
        </is>
      </c>
      <c r="B52" s="7" t="inlineStr">
        <is>
          <t>文档</t>
        </is>
      </c>
      <c r="C52" s="7" t="inlineStr">
        <is>
          <t>接口文档、部署文档、后台操作手册</t>
        </is>
      </c>
      <c r="D52" s="8" t="n"/>
      <c r="E52" s="9" t="n"/>
      <c r="F52" s="10">
        <f>IF(OR(D52="",E52=""),"",D52*E52)</f>
        <v/>
      </c>
      <c r="G52" s="11" t="n"/>
    </row>
    <row r="53">
      <c r="A53" s="6" t="inlineStr">
        <is>
          <t>H3</t>
        </is>
      </c>
      <c r="B53" s="7" t="inlineStr">
        <is>
          <t>验收上线与维护</t>
        </is>
      </c>
      <c r="C53" s="7" t="inlineStr">
        <is>
          <t>上线支持、验收通过后 1 个月免费维护</t>
        </is>
      </c>
      <c r="D53" s="8" t="n"/>
      <c r="E53" s="9" t="n"/>
      <c r="F53" s="10">
        <f>IF(OR(D53="",E53=""),"",D53*E53)</f>
        <v/>
      </c>
      <c r="G53" s="11" t="n"/>
    </row>
    <row r="54">
      <c r="A54" s="12" t="inlineStr">
        <is>
          <t>H 测试与交付 小计</t>
        </is>
      </c>
      <c r="B54" s="12" t="n"/>
      <c r="C54" s="12" t="n"/>
      <c r="D54" s="13">
        <f>SUM(D51:D53)</f>
        <v/>
      </c>
      <c r="E54" s="14">
        <f>ROUND(SUM(F51:F53)/IF(SUM(D51:D53)=0,1,SUM(D51:D53)),0)</f>
        <v/>
      </c>
      <c r="F54" s="14">
        <f>SUM(F51:F53)</f>
        <v/>
      </c>
      <c r="G54" s="12" t="n"/>
    </row>
    <row r="55">
      <c r="A55" s="15" t="inlineStr">
        <is>
          <t>报价总计（含税）</t>
        </is>
      </c>
      <c r="B55" s="15" t="n"/>
      <c r="C55" s="15" t="n"/>
      <c r="D55" s="16">
        <f>D8+D14+D21+D27+D31+D40+D50+D54</f>
        <v/>
      </c>
      <c r="E55" s="17">
        <f>ROUND((F8+F14+F21+F27+F31+F40+F50+F54)/(D8+D14+D21+D27+D31+D40+D50+D54),0)</f>
        <v/>
      </c>
      <c r="F55" s="17">
        <f>F8+F14+F21+F27+F31+F40+F50+F54</f>
        <v/>
      </c>
      <c r="G55" s="15" t="n"/>
    </row>
    <row r="57">
      <c r="A57" s="18" t="inlineStr">
        <is>
          <t>乙方承诺信息</t>
        </is>
      </c>
    </row>
    <row r="58">
      <c r="A58" s="7" t="inlineStr">
        <is>
          <t>承诺总实施周期（天）</t>
        </is>
      </c>
      <c r="B58" s="7" t="n"/>
      <c r="C58" s="8" t="n"/>
      <c r="D58" s="7" t="n"/>
      <c r="E58" s="7" t="n"/>
      <c r="F58" s="7" t="n"/>
      <c r="G58" s="7" t="n"/>
    </row>
    <row r="59">
      <c r="A59" s="7" t="inlineStr">
        <is>
          <t>承诺免费维护期（月）</t>
        </is>
      </c>
      <c r="B59" s="7" t="n"/>
      <c r="C59" s="8" t="n"/>
      <c r="D59" s="7" t="n"/>
      <c r="E59" s="7" t="n"/>
      <c r="F59" s="7" t="n"/>
      <c r="G59" s="7" t="n"/>
    </row>
    <row r="60">
      <c r="A60" s="7" t="inlineStr">
        <is>
          <t>增项人天单价（元/人天）</t>
        </is>
      </c>
      <c r="B60" s="7" t="n"/>
      <c r="C60" s="8" t="n"/>
      <c r="D60" s="7" t="n"/>
      <c r="E60" s="7" t="n"/>
      <c r="F60" s="7" t="n"/>
      <c r="G60" s="7" t="n"/>
    </row>
    <row r="61">
      <c r="A61" s="7" t="inlineStr">
        <is>
          <t>项目负责人与联系方式</t>
        </is>
      </c>
      <c r="B61" s="7" t="n"/>
      <c r="C61" s="8" t="n"/>
      <c r="D61" s="7" t="n"/>
      <c r="E61" s="7" t="n"/>
      <c r="F61" s="7" t="n"/>
      <c r="G61" s="7" t="n"/>
    </row>
  </sheetData>
  <mergeCells count="19">
    <mergeCell ref="A59:B59"/>
    <mergeCell ref="A60:B60"/>
    <mergeCell ref="C58:G58"/>
    <mergeCell ref="A27:C27"/>
    <mergeCell ref="A21:C21"/>
    <mergeCell ref="A55:C55"/>
    <mergeCell ref="A50:C50"/>
    <mergeCell ref="A61:B61"/>
    <mergeCell ref="A14:C14"/>
    <mergeCell ref="A8:C8"/>
    <mergeCell ref="C59:G59"/>
    <mergeCell ref="A1:G1"/>
    <mergeCell ref="A31:C31"/>
    <mergeCell ref="C60:G60"/>
    <mergeCell ref="A40:C40"/>
    <mergeCell ref="C61:G61"/>
    <mergeCell ref="A57:G57"/>
    <mergeCell ref="A58:B58"/>
    <mergeCell ref="A54:C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30" customWidth="1" min="4" max="4"/>
  </cols>
  <sheetData>
    <row r="1" ht="26" customHeight="1">
      <c r="A1" s="4" t="inlineStr">
        <is>
          <t>报价汇总（自动汇总，勿修改）</t>
        </is>
      </c>
    </row>
    <row r="2">
      <c r="A2" s="5" t="inlineStr">
        <is>
          <t>分组</t>
        </is>
      </c>
      <c r="B2" s="5" t="inlineStr">
        <is>
          <t>小计人天</t>
        </is>
      </c>
      <c r="C2" s="5" t="inlineStr">
        <is>
          <t>小计金额（元）</t>
        </is>
      </c>
      <c r="D2" s="5" t="inlineStr">
        <is>
          <t>说明</t>
        </is>
      </c>
    </row>
    <row r="3">
      <c r="A3" s="7" t="inlineStr">
        <is>
          <t>A 平台基础</t>
        </is>
      </c>
      <c r="B3" s="19">
        <f>'报价表'!D8</f>
        <v/>
      </c>
      <c r="C3" s="10">
        <f>'报价表'!F8</f>
        <v/>
      </c>
      <c r="D3" s="7" t="inlineStr">
        <is>
          <t>对应需求书模块分组</t>
        </is>
      </c>
    </row>
    <row r="4">
      <c r="A4" s="7" t="inlineStr">
        <is>
          <t>B 核心交易</t>
        </is>
      </c>
      <c r="B4" s="19">
        <f>'报价表'!D14</f>
        <v/>
      </c>
      <c r="C4" s="10">
        <f>'报价表'!F14</f>
        <v/>
      </c>
      <c r="D4" s="7" t="inlineStr">
        <is>
          <t>对应需求书模块分组</t>
        </is>
      </c>
    </row>
    <row r="5">
      <c r="A5" s="7" t="inlineStr">
        <is>
          <t>C 资金与金融</t>
        </is>
      </c>
      <c r="B5" s="19">
        <f>'报价表'!D21</f>
        <v/>
      </c>
      <c r="C5" s="10">
        <f>'报价表'!F21</f>
        <v/>
      </c>
      <c r="D5" s="7" t="inlineStr">
        <is>
          <t>对应需求书模块分组</t>
        </is>
      </c>
    </row>
    <row r="6">
      <c r="A6" s="7" t="inlineStr">
        <is>
          <t>D 增值业务</t>
        </is>
      </c>
      <c r="B6" s="19">
        <f>'报价表'!D27</f>
        <v/>
      </c>
      <c r="C6" s="10">
        <f>'报价表'!F27</f>
        <v/>
      </c>
      <c r="D6" s="7" t="inlineStr">
        <is>
          <t>对应需求书模块分组</t>
        </is>
      </c>
    </row>
    <row r="7">
      <c r="A7" s="7" t="inlineStr">
        <is>
          <t>E 内容与生态</t>
        </is>
      </c>
      <c r="B7" s="19">
        <f>'报价表'!D31</f>
        <v/>
      </c>
      <c r="C7" s="10">
        <f>'报价表'!F31</f>
        <v/>
      </c>
      <c r="D7" s="7" t="inlineStr">
        <is>
          <t>对应需求书模块分组</t>
        </is>
      </c>
    </row>
    <row r="8">
      <c r="A8" s="7" t="inlineStr">
        <is>
          <t>F 管理后台</t>
        </is>
      </c>
      <c r="B8" s="19">
        <f>'报价表'!D40</f>
        <v/>
      </c>
      <c r="C8" s="10">
        <f>'报价表'!F40</f>
        <v/>
      </c>
      <c r="D8" s="7" t="inlineStr">
        <is>
          <t>对应需求书模块分组</t>
        </is>
      </c>
    </row>
    <row r="9">
      <c r="A9" s="7" t="inlineStr">
        <is>
          <t>G 多端与部署</t>
        </is>
      </c>
      <c r="B9" s="19">
        <f>'报价表'!D50</f>
        <v/>
      </c>
      <c r="C9" s="10">
        <f>'报价表'!F50</f>
        <v/>
      </c>
      <c r="D9" s="7" t="inlineStr">
        <is>
          <t>对应需求书模块分组</t>
        </is>
      </c>
    </row>
    <row r="10">
      <c r="A10" s="7" t="inlineStr">
        <is>
          <t>H 测试与交付</t>
        </is>
      </c>
      <c r="B10" s="19">
        <f>'报价表'!D54</f>
        <v/>
      </c>
      <c r="C10" s="10">
        <f>'报价表'!F54</f>
        <v/>
      </c>
      <c r="D10" s="7" t="inlineStr">
        <is>
          <t>对应需求书模块分组</t>
        </is>
      </c>
    </row>
    <row r="11">
      <c r="A11" s="15" t="inlineStr">
        <is>
          <t>总报价（含税）</t>
        </is>
      </c>
      <c r="B11" s="16">
        <f>'报价表'!D55</f>
        <v/>
      </c>
      <c r="C11" s="17">
        <f>'报价表'!F55</f>
        <v/>
      </c>
      <c r="D11" s="15" t="n"/>
    </row>
    <row r="13" ht="30" customHeight="1">
      <c r="A13" s="20" t="inlineStr">
        <is>
          <t>说明：本表为「报价表」工作表的自动汇总。乙方填报报价人天与单价后，本表自动更新，无需手工填写。</t>
        </is>
      </c>
    </row>
  </sheetData>
  <mergeCells count="2">
    <mergeCell ref="A1:D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2026-09-15T03:29:19Z</dcterms:created>
  <dcterms:modified xmlns:dcterms="http://purl.org/dc/terms/" xmlns:xsi="http://www.w3.org/2001/XMLSchema-instance" xsi:type="dcterms:W3CDTF">2026-09-15T03:29:19Z</dcterms:modified>
</cp:coreProperties>
</file>