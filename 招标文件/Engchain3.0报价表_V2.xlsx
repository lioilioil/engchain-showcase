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说明" sheetId="1" state="visible" r:id="rId1"/>
    <sheet xmlns:r="http://schemas.openxmlformats.org/officeDocument/2006/relationships" name="报价表" sheetId="2" state="visible" r:id="rId2"/>
    <sheet xmlns:r="http://schemas.openxmlformats.org/officeDocument/2006/relationships" name="报价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sz val="13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7E6"/>
      </patternFill>
    </fill>
    <fill>
      <patternFill patternType="solid">
        <fgColor rgb="00EEF3FA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 wrapText="1"/>
    </xf>
    <xf numFmtId="3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" fontId="2" fillId="5" borderId="1" applyAlignment="1" pivotButton="0" quotePrefix="0" xfId="0">
      <alignment horizontal="center" vertical="center" wrapText="1"/>
    </xf>
    <xf numFmtId="3" fontId="2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 ht="30" customHeight="1">
      <c r="A1" s="1" t="inlineStr">
        <is>
          <t>ENGCHAIN 工程链 3.0 平台开发报价表 · 填报说明（V2）</t>
        </is>
      </c>
    </row>
    <row r="3" ht="18" customHeight="1">
      <c r="A3" s="2" t="inlineStr">
        <is>
          <t>一、项目基本信息</t>
        </is>
      </c>
      <c r="B3" t="inlineStr"/>
    </row>
    <row r="4" ht="18" customHeight="1">
      <c r="A4" s="2" t="inlineStr">
        <is>
          <t>项目名称</t>
        </is>
      </c>
      <c r="B4" t="inlineStr">
        <is>
          <t>ENGCHAIN 工程链 3.0 平台开发（Web 用户端 + 管理后台 + 4 小程序 + 3 App）</t>
        </is>
      </c>
    </row>
    <row r="5" ht="18" customHeight="1">
      <c r="A5" s="2" t="inlineStr">
        <is>
          <t>招标方式</t>
        </is>
      </c>
      <c r="B5" t="inlineStr">
        <is>
          <t>邀请比价（邀标）</t>
        </is>
      </c>
    </row>
    <row r="6" ht="18" customHeight="1">
      <c r="A6" s="2" t="inlineStr">
        <is>
          <t>项目预算</t>
        </is>
      </c>
      <c r="B6" t="inlineStr">
        <is>
          <t>人民币 15 万元（含税总价上限）</t>
        </is>
      </c>
    </row>
    <row r="7" ht="18" customHeight="1">
      <c r="A7" s="2" t="inlineStr">
        <is>
          <t>项目工期</t>
        </is>
      </c>
      <c r="B7" t="inlineStr">
        <is>
          <t>3 个月（自合同签订之日起）</t>
        </is>
      </c>
    </row>
    <row r="8" ht="40" customHeight="1">
      <c r="A8" s="2" t="inlineStr">
        <is>
          <t>交付形态</t>
        </is>
      </c>
      <c r="B8" t="inlineStr">
        <is>
          <t>Web 用户端（完整）；Web 管理后台（完整）；微信/小红书/抖音/支付宝小程序（轻量引流版：注册登录、活动页、主列表页、详情页及 App 跳转）；安卓/iOS/鸿蒙 App（完整）</t>
        </is>
      </c>
    </row>
    <row r="9" ht="18" customHeight="1">
      <c r="A9" s="3" t="inlineStr"/>
      <c r="B9" t="inlineStr"/>
    </row>
    <row r="10" ht="18" customHeight="1">
      <c r="A10" s="2" t="inlineStr">
        <is>
          <t>二、报价口径</t>
        </is>
      </c>
      <c r="B10" t="inlineStr"/>
    </row>
    <row r="11" ht="18" customHeight="1">
      <c r="A11" s="2" t="inlineStr">
        <is>
          <t>1. 含税报价</t>
        </is>
      </c>
      <c r="B11" t="inlineStr">
        <is>
          <t>报价表内全部金额均为含税人民币报价（默认增值税专用发票，税率如有不同请在备注说明）。</t>
        </is>
      </c>
    </row>
    <row r="12" ht="18" customHeight="1">
      <c r="A12" s="2" t="inlineStr">
        <is>
          <t>2. 填报方式</t>
        </is>
      </c>
      <c r="B12" t="inlineStr">
        <is>
          <t>请在「报价表」工作表中填写黄色单元格（报价人天、人天单价、备注）；小计与合计由公式自动计算，请勿修改公式。</t>
        </is>
      </c>
    </row>
    <row r="13" ht="18" customHeight="1">
      <c r="A13" s="2" t="inlineStr">
        <is>
          <t>3. 分模块报价</t>
        </is>
      </c>
      <c r="B13" t="inlineStr">
        <is>
          <t>报价项已按功能模块细分，报价应覆盖需求书对应模块的全部需求要点（含后端、数据库、多端适配与第三方联调）。</t>
        </is>
      </c>
    </row>
    <row r="14" ht="40" customHeight="1">
      <c r="A14" s="2" t="inlineStr">
        <is>
          <t>4. 范围说明</t>
        </is>
      </c>
      <c r="B14" t="inlineStr">
        <is>
          <t>本次开发不涉及监管银行托管；交易保障按平台担保逻辑（资金冻结、验收释放、退款）实现。需求书中标注「可配置」的参数由管理后台配置，不属于另行计费范围。</t>
        </is>
      </c>
    </row>
    <row r="15" ht="18" customHeight="1">
      <c r="A15" s="2" t="inlineStr">
        <is>
          <t>5. 小程序范围</t>
        </is>
      </c>
      <c r="B15" t="inlineStr">
        <is>
          <t>4 个小程序为轻量引流版（注册登录、活动页、主列表页、详情页及 App 跳转），不含交易、资金、分销等复杂流程。</t>
        </is>
      </c>
    </row>
    <row r="16" ht="18" customHeight="1">
      <c r="A16" s="2" t="inlineStr">
        <is>
          <t>6. 实施周期</t>
        </is>
      </c>
      <c r="B16" t="inlineStr">
        <is>
          <t>请在报价汇总中承诺总实施周期（天），并建议给出 M1/M2/M3 各阶段完成时间。</t>
        </is>
      </c>
    </row>
    <row r="17" ht="18" customHeight="1">
      <c r="A17" s="2" t="inlineStr">
        <is>
          <t>7. 免费维护期</t>
        </is>
      </c>
      <c r="B17" t="inlineStr">
        <is>
          <t>请承诺验收通过后的免费维护期（建议不少于 1 个月），超出部分另行报价。</t>
        </is>
      </c>
    </row>
    <row r="18" ht="18" customHeight="1">
      <c r="A18" s="2" t="inlineStr">
        <is>
          <t>8. 增项计价</t>
        </is>
      </c>
      <c r="B18" t="inlineStr">
        <is>
          <t>超出本需求书范围的增项需求，按填报的人天单价另行计价。</t>
        </is>
      </c>
    </row>
    <row r="19" ht="18" customHeight="1">
      <c r="A19" s="2" t="inlineStr">
        <is>
          <t>9. 付款节点</t>
        </is>
      </c>
      <c r="B19" t="inlineStr">
        <is>
          <t>建议：签约 30%、M1 验收 30%、M2 验收 20%、上线验收 20%；以商务合同为准。</t>
        </is>
      </c>
    </row>
    <row r="20" ht="18" customHeight="1">
      <c r="A20" s="3" t="inlineStr"/>
      <c r="B20" t="inlineStr"/>
    </row>
    <row r="21" ht="18" customHeight="1">
      <c r="A21" s="2" t="inlineStr">
        <is>
          <t>三、投标材料</t>
        </is>
      </c>
      <c r="B21" t="inlineStr">
        <is>
          <t>报价表（本表）、营业执照、同类项目案例 1-2 个（附截图或链接）、团队配置与排期承诺、技术选型说明（含鸿蒙端方案）。</t>
        </is>
      </c>
    </row>
    <row r="22" ht="18" customHeight="1">
      <c r="A22" s="3" t="inlineStr"/>
      <c r="B22" t="inlineStr"/>
    </row>
    <row r="23" ht="18" customHeight="1">
      <c r="A23" s="2" t="inlineStr">
        <is>
          <t>四、联系方式</t>
        </is>
      </c>
      <c r="B23" t="inlineStr">
        <is>
          <t>联系人：【待填写】；电话/邮箱：【待填写】；回标截止：【待填写】。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58" customWidth="1" min="3" max="3"/>
    <col width="10" customWidth="1" min="4" max="4"/>
    <col width="12" customWidth="1" min="5" max="5"/>
    <col width="12" customWidth="1" min="6" max="6"/>
    <col width="16" customWidth="1" min="7" max="7"/>
  </cols>
  <sheetData>
    <row r="1" ht="26" customHeight="1">
      <c r="A1" s="4" t="inlineStr">
        <is>
          <t>ENGCHAIN 工程链 3.0 平台开发报价表（黄色单元格由乙方填写）</t>
        </is>
      </c>
    </row>
    <row r="2">
      <c r="A2" s="5" t="inlineStr">
        <is>
          <t>编号</t>
        </is>
      </c>
      <c r="B2" s="5" t="inlineStr">
        <is>
          <t>报价项</t>
        </is>
      </c>
      <c r="C2" s="5" t="inlineStr">
        <is>
          <t>需求说明</t>
        </is>
      </c>
      <c r="D2" s="5" t="inlineStr">
        <is>
          <t>报价人天</t>
        </is>
      </c>
      <c r="E2" s="5" t="inlineStr">
        <is>
          <t>人天单价（元）</t>
        </is>
      </c>
      <c r="F2" s="5" t="inlineStr">
        <is>
          <t>小计（元）</t>
        </is>
      </c>
      <c r="G2" s="5" t="inlineStr">
        <is>
          <t>备注</t>
        </is>
      </c>
    </row>
    <row r="3">
      <c r="A3" s="6" t="inlineStr">
        <is>
          <t>A1</t>
        </is>
      </c>
      <c r="B3" s="7" t="inlineStr">
        <is>
          <t>账号体系与注册登录</t>
        </is>
      </c>
      <c r="C3" s="7" t="inlineStr">
        <is>
          <t>手机号注册/登录、短信验证码、图形验证码防刷、登录态与多端会话管理、微信/支付宝第三方登录（可配置）</t>
        </is>
      </c>
      <c r="D3" s="8" t="n"/>
      <c r="E3" s="9" t="n"/>
      <c r="F3" s="10">
        <f>IF(OR(D3="",E3=""),"",D3*E3)</f>
        <v/>
      </c>
      <c r="G3" s="11" t="n"/>
    </row>
    <row r="4">
      <c r="A4" s="6" t="inlineStr">
        <is>
          <t>A2</t>
        </is>
      </c>
      <c r="B4" s="7" t="inlineStr">
        <is>
          <t>用户角色与多级认证</t>
        </is>
      </c>
      <c r="C4" s="7" t="inlineStr">
        <is>
          <t>普通用户/企业/合伙人/服务商多角色体系；个人实名、企业工商、合伙人、资质认证全流程；认证审核联动与权益解锁</t>
        </is>
      </c>
      <c r="D4" s="8" t="n"/>
      <c r="E4" s="9" t="n"/>
      <c r="F4" s="10">
        <f>IF(OR(D4="",E4=""),"",D4*E4)</f>
        <v/>
      </c>
      <c r="G4" s="11" t="n"/>
    </row>
    <row r="5">
      <c r="A5" s="6" t="inlineStr">
        <is>
          <t>A3</t>
        </is>
      </c>
      <c r="B5" s="7" t="inlineStr">
        <is>
          <t>账号安全与风控基础</t>
        </is>
      </c>
      <c r="C5" s="7" t="inlineStr">
        <is>
          <t>密码/手机号修改、登录设备管理、封禁/解封与资金冻结联动、注销；登录防刷与异常操作风控</t>
        </is>
      </c>
      <c r="D5" s="8" t="n"/>
      <c r="E5" s="9" t="n"/>
      <c r="F5" s="10">
        <f>IF(OR(D5="",E5=""),"",D5*E5)</f>
        <v/>
      </c>
      <c r="G5" s="11" t="n"/>
    </row>
    <row r="6">
      <c r="A6" s="6" t="inlineStr">
        <is>
          <t>A4</t>
        </is>
      </c>
      <c r="B6" s="7" t="inlineStr">
        <is>
          <t>消息中心与聊天 IM</t>
        </is>
      </c>
      <c r="C6" s="7" t="inlineStr">
        <is>
          <t>消息列表（系统/业务/聊天）、双人会话、已读未读、敏感词过滤、拉黑与举报</t>
        </is>
      </c>
      <c r="D6" s="8" t="n"/>
      <c r="E6" s="9" t="n"/>
      <c r="F6" s="10">
        <f>IF(OR(D6="",E6=""),"",D6*E6)</f>
        <v/>
      </c>
      <c r="G6" s="11" t="n"/>
    </row>
    <row r="7">
      <c r="A7" s="6" t="inlineStr">
        <is>
          <t>A5</t>
        </is>
      </c>
      <c r="B7" s="7" t="inlineStr">
        <is>
          <t>通知与推送</t>
        </is>
      </c>
      <c r="C7" s="7" t="inlineStr">
        <is>
          <t>站内信、短信、小程序订阅消息、App 推送；各渠道模板管理与送达偏好设置</t>
        </is>
      </c>
      <c r="D7" s="8" t="n"/>
      <c r="E7" s="9" t="n"/>
      <c r="F7" s="10">
        <f>IF(OR(D7="",E7=""),"",D7*E7)</f>
        <v/>
      </c>
      <c r="G7" s="11" t="n"/>
    </row>
    <row r="8">
      <c r="A8" s="6" t="inlineStr">
        <is>
          <t>A6</t>
        </is>
      </c>
      <c r="B8" s="7" t="inlineStr">
        <is>
          <t>搜索与匹配</t>
        </is>
      </c>
      <c r="C8" s="7" t="inlineStr">
        <is>
          <t>关键词全文搜索、搜索联想与历史、多维筛选排序、匹配偏好设置与匹配度计算</t>
        </is>
      </c>
      <c r="D8" s="8" t="n"/>
      <c r="E8" s="9" t="n"/>
      <c r="F8" s="10">
        <f>IF(OR(D8="",E8=""),"",D8*E8)</f>
        <v/>
      </c>
      <c r="G8" s="11" t="n"/>
    </row>
    <row r="9">
      <c r="A9" s="6" t="inlineStr">
        <is>
          <t>A7</t>
        </is>
      </c>
      <c r="B9" s="7" t="inlineStr">
        <is>
          <t>后台基础框架与权限</t>
        </is>
      </c>
      <c r="C9" s="7" t="inlineStr">
        <is>
          <t>管理后台框架、RBAC（角色/菜单/数据权限/操作权限）、操作日志、后台账号与组织管理</t>
        </is>
      </c>
      <c r="D9" s="8" t="n"/>
      <c r="E9" s="9" t="n"/>
      <c r="F9" s="10">
        <f>IF(OR(D9="",E9=""),"",D9*E9)</f>
        <v/>
      </c>
      <c r="G9" s="11" t="n"/>
    </row>
    <row r="10">
      <c r="A10" s="12" t="inlineStr">
        <is>
          <t>A 平台基础 小计</t>
        </is>
      </c>
      <c r="B10" s="12" t="n"/>
      <c r="C10" s="12" t="n"/>
      <c r="D10" s="13">
        <f>SUM(D3:D9)</f>
        <v/>
      </c>
      <c r="E10" s="14">
        <f>ROUND(SUM(F3:F9)/IF(SUM(D3:D9)=0,1,SUM(D3:D9)),0)</f>
        <v/>
      </c>
      <c r="F10" s="14">
        <f>SUM(F3:F9)</f>
        <v/>
      </c>
      <c r="G10" s="12" t="n"/>
    </row>
    <row r="11">
      <c r="A11" s="6" t="inlineStr">
        <is>
          <t>B1</t>
        </is>
      </c>
      <c r="B11" s="7" t="inlineStr">
        <is>
          <t>信息编辑器（多类目动态字段）</t>
        </is>
      </c>
      <c r="C11" s="7" t="inlineStr">
        <is>
          <t>9 类信息字段模型、按类别动态渲染表单、字段校验、图片/附件上传、草稿自动保存、发布前预览</t>
        </is>
      </c>
      <c r="D11" s="8" t="n"/>
      <c r="E11" s="9" t="n"/>
      <c r="F11" s="10">
        <f>IF(OR(D11="",E11=""),"",D11*E11)</f>
        <v/>
      </c>
      <c r="G11" s="11" t="n"/>
    </row>
    <row r="12">
      <c r="A12" s="6" t="inlineStr">
        <is>
          <t>B2</t>
        </is>
      </c>
      <c r="B12" s="7" t="inlineStr">
        <is>
          <t>发布管理与审核流</t>
        </is>
      </c>
      <c r="C12" s="7" t="inlineStr">
        <is>
          <t>登录与实名门槛校验、提交审核、审核流（通过/驳回/重提）、上下架、有效期与到期处理、续期</t>
        </is>
      </c>
      <c r="D12" s="8" t="n"/>
      <c r="E12" s="9" t="n"/>
      <c r="F12" s="10">
        <f>IF(OR(D12="",E12=""),"",D12*E12)</f>
        <v/>
      </c>
      <c r="G12" s="11" t="n"/>
    </row>
    <row r="13">
      <c r="A13" s="6" t="inlineStr">
        <is>
          <t>B3</t>
        </is>
      </c>
      <c r="B13" s="7" t="inlineStr">
        <is>
          <t>信息列表与详情</t>
        </is>
      </c>
      <c r="C13" s="7" t="inlineStr">
        <is>
          <t>列表筛选/排序/分页、详情页展示、敏感信息脱敏、收藏与浏览历史</t>
        </is>
      </c>
      <c r="D13" s="8" t="n"/>
      <c r="E13" s="9" t="n"/>
      <c r="F13" s="10">
        <f>IF(OR(D13="",E13=""),"",D13*E13)</f>
        <v/>
      </c>
      <c r="G13" s="11" t="n"/>
    </row>
    <row r="14">
      <c r="A14" s="6" t="inlineStr">
        <is>
          <t>B4</t>
        </is>
      </c>
      <c r="B14" s="7" t="inlineStr">
        <is>
          <t>线索解锁与免费额度</t>
        </is>
      </c>
      <c r="C14" s="7" t="inlineStr">
        <is>
          <t>联系方式脱敏与付费解锁（余额/积分/权益，规则可配置）、免费额度发放与消耗、解锁记录</t>
        </is>
      </c>
      <c r="D14" s="8" t="n"/>
      <c r="E14" s="9" t="n"/>
      <c r="F14" s="10">
        <f>IF(OR(D14="",E14=""),"",D14*E14)</f>
        <v/>
      </c>
      <c r="G14" s="11" t="n"/>
    </row>
    <row r="15">
      <c r="A15" s="6" t="inlineStr">
        <is>
          <t>B5</t>
        </is>
      </c>
      <c r="B15" s="7" t="inlineStr">
        <is>
          <t>内容与运营位</t>
        </is>
      </c>
      <c r="C15" s="7" t="inlineStr">
        <is>
          <t>首页频道、Banner/金刚区/推荐位/公告配置（素材/链接/投放规则/定时上下线）、活动页</t>
        </is>
      </c>
      <c r="D15" s="8" t="n"/>
      <c r="E15" s="9" t="n"/>
      <c r="F15" s="10">
        <f>IF(OR(D15="",E15=""),"",D15*E15)</f>
        <v/>
      </c>
      <c r="G15" s="11" t="n"/>
    </row>
    <row r="16">
      <c r="A16" s="6" t="inlineStr">
        <is>
          <t>B6</t>
        </is>
      </c>
      <c r="B16" s="7" t="inlineStr">
        <is>
          <t>资讯与帮助内容</t>
        </is>
      </c>
      <c r="C16" s="7" t="inlineStr">
        <is>
          <t>行业资讯、帮助中心、破冰期引导、共创者计划、关于平台等内容的展示与后台维护</t>
        </is>
      </c>
      <c r="D16" s="8" t="n"/>
      <c r="E16" s="9" t="n"/>
      <c r="F16" s="10">
        <f>IF(OR(D16="",E16=""),"",D16*E16)</f>
        <v/>
      </c>
      <c r="G16" s="11" t="n"/>
    </row>
    <row r="17">
      <c r="A17" s="12" t="inlineStr">
        <is>
          <t>B 信息与内容 小计</t>
        </is>
      </c>
      <c r="B17" s="12" t="n"/>
      <c r="C17" s="12" t="n"/>
      <c r="D17" s="13">
        <f>SUM(D11:D16)</f>
        <v/>
      </c>
      <c r="E17" s="14">
        <f>ROUND(SUM(F11:F16)/IF(SUM(D11:D16)=0,1,SUM(D11:D16)),0)</f>
        <v/>
      </c>
      <c r="F17" s="14">
        <f>SUM(F11:F16)</f>
        <v/>
      </c>
      <c r="G17" s="12" t="n"/>
    </row>
    <row r="18">
      <c r="A18" s="6" t="inlineStr">
        <is>
          <t>C1</t>
        </is>
      </c>
      <c r="B18" s="7" t="inlineStr">
        <is>
          <t>订单系统（普通+服务）</t>
        </is>
      </c>
      <c r="C18" s="7" t="inlineStr">
        <is>
          <t>下单、支付、订单状态机（待支付/进行中/待验收/已完成/已退款/已关闭）、超时自动关闭、订单列表与详情</t>
        </is>
      </c>
      <c r="D18" s="8" t="n"/>
      <c r="E18" s="9" t="n"/>
      <c r="F18" s="10">
        <f>IF(OR(D18="",E18=""),"",D18*E18)</f>
        <v/>
      </c>
      <c r="G18" s="11" t="n"/>
    </row>
    <row r="19">
      <c r="A19" s="6" t="inlineStr">
        <is>
          <t>C2</t>
        </is>
      </c>
      <c r="B19" s="7" t="inlineStr">
        <is>
          <t>交易保障与结算</t>
        </is>
      </c>
      <c r="C19" s="7" t="inlineStr">
        <is>
          <t>订单资金冻结、验收后释放、验收超时自动确认（时长可配置）、争议冻结与平台仲裁、结算规则配置</t>
        </is>
      </c>
      <c r="D19" s="8" t="n"/>
      <c r="E19" s="9" t="n"/>
      <c r="F19" s="10">
        <f>IF(OR(D19="",E19=""),"",D19*E19)</f>
        <v/>
      </c>
      <c r="G19" s="11" t="n"/>
    </row>
    <row r="20">
      <c r="A20" s="6" t="inlineStr">
        <is>
          <t>C3</t>
        </is>
      </c>
      <c r="B20" s="7" t="inlineStr">
        <is>
          <t>退款与申诉</t>
        </is>
      </c>
      <c r="C20" s="7" t="inlineStr">
        <is>
          <t>退款规则（含无理由退款，可配置）、退款申请/审核/原路退回、申诉与平台仲裁、退款记录</t>
        </is>
      </c>
      <c r="D20" s="8" t="n"/>
      <c r="E20" s="9" t="n"/>
      <c r="F20" s="10">
        <f>IF(OR(D20="",E20=""),"",D20*E20)</f>
        <v/>
      </c>
      <c r="G20" s="11" t="n"/>
    </row>
    <row r="21">
      <c r="A21" s="6" t="inlineStr">
        <is>
          <t>C4</t>
        </is>
      </c>
      <c r="B21" s="7" t="inlineStr">
        <is>
          <t>钱包账户</t>
        </is>
      </c>
      <c r="C21" s="7" t="inlineStr">
        <is>
          <t>余额账户（可用/在途/冻结）、收支明细流水（类型筛选与导出）、账户状态与资金冻结联动</t>
        </is>
      </c>
      <c r="D21" s="8" t="n"/>
      <c r="E21" s="9" t="n"/>
      <c r="F21" s="10">
        <f>IF(OR(D21="",E21=""),"",D21*E21)</f>
        <v/>
      </c>
      <c r="G21" s="11" t="n"/>
    </row>
    <row r="22">
      <c r="A22" s="6" t="inlineStr">
        <is>
          <t>C5</t>
        </is>
      </c>
      <c r="B22" s="7" t="inlineStr">
        <is>
          <t>充值</t>
        </is>
      </c>
      <c r="C22" s="7" t="inlineStr">
        <is>
          <t>微信/支付宝在线支付、对公转账（后台凭证审批）、充值档位与优惠规则（可配置）</t>
        </is>
      </c>
      <c r="D22" s="8" t="n"/>
      <c r="E22" s="9" t="n"/>
      <c r="F22" s="10">
        <f>IF(OR(D22="",E22=""),"",D22*E22)</f>
        <v/>
      </c>
      <c r="G22" s="11" t="n"/>
    </row>
    <row r="23">
      <c r="A23" s="6" t="inlineStr">
        <is>
          <t>C6</t>
        </is>
      </c>
      <c r="B23" s="7" t="inlineStr">
        <is>
          <t>提现</t>
        </is>
      </c>
      <c r="C23" s="7" t="inlineStr">
        <is>
          <t>提现申请、后台两级审批、到账状态跟踪、银行卡绑定与校验、提现门槛与手续费（可配置）</t>
        </is>
      </c>
      <c r="D23" s="8" t="n"/>
      <c r="E23" s="9" t="n"/>
      <c r="F23" s="10">
        <f>IF(OR(D23="",E23=""),"",D23*E23)</f>
        <v/>
      </c>
      <c r="G23" s="11" t="n"/>
    </row>
    <row r="24">
      <c r="A24" s="6" t="inlineStr">
        <is>
          <t>C7</t>
        </is>
      </c>
      <c r="B24" s="7" t="inlineStr">
        <is>
          <t>积分体系</t>
        </is>
      </c>
      <c r="C24" s="7" t="inlineStr">
        <is>
          <t>积分获取/消耗规则（可配置）、积分流水与有效期、积分抵现、积分商城</t>
        </is>
      </c>
      <c r="D24" s="8" t="n"/>
      <c r="E24" s="9" t="n"/>
      <c r="F24" s="10">
        <f>IF(OR(D24="",E24=""),"",D24*E24)</f>
        <v/>
      </c>
      <c r="G24" s="11" t="n"/>
    </row>
    <row r="25">
      <c r="A25" s="6" t="inlineStr">
        <is>
          <t>C8</t>
        </is>
      </c>
      <c r="B25" s="7" t="inlineStr">
        <is>
          <t>发票管理</t>
        </is>
      </c>
      <c r="C25" s="7" t="inlineStr">
        <is>
          <t>抬头管理、开票信息维护、开票申请与记录、开票状态跟踪</t>
        </is>
      </c>
      <c r="D25" s="8" t="n"/>
      <c r="E25" s="9" t="n"/>
      <c r="F25" s="10">
        <f>IF(OR(D25="",E25=""),"",D25*E25)</f>
        <v/>
      </c>
      <c r="G25" s="11" t="n"/>
    </row>
    <row r="26">
      <c r="A26" s="6" t="inlineStr">
        <is>
          <t>C9</t>
        </is>
      </c>
      <c r="B26" s="7" t="inlineStr">
        <is>
          <t>年度会员与权益</t>
        </is>
      </c>
      <c r="C26" s="7" t="inlineStr">
        <is>
          <t>会员等级与权益配置、购买与续费、权益发放与核销</t>
        </is>
      </c>
      <c r="D26" s="8" t="n"/>
      <c r="E26" s="9" t="n"/>
      <c r="F26" s="10">
        <f>IF(OR(D26="",E26=""),"",D26*E26)</f>
        <v/>
      </c>
      <c r="G26" s="11" t="n"/>
    </row>
    <row r="27">
      <c r="A27" s="12" t="inlineStr">
        <is>
          <t>C 交易与资金 小计</t>
        </is>
      </c>
      <c r="B27" s="12" t="n"/>
      <c r="C27" s="12" t="n"/>
      <c r="D27" s="13">
        <f>SUM(D18:D26)</f>
        <v/>
      </c>
      <c r="E27" s="14">
        <f>ROUND(SUM(F18:F26)/IF(SUM(D18:D26)=0,1,SUM(D18:D26)),0)</f>
        <v/>
      </c>
      <c r="F27" s="14">
        <f>SUM(F18:F26)</f>
        <v/>
      </c>
      <c r="G27" s="12" t="n"/>
    </row>
    <row r="28">
      <c r="A28" s="6" t="inlineStr">
        <is>
          <t>D1</t>
        </is>
      </c>
      <c r="B28" s="7" t="inlineStr">
        <is>
          <t>分销体系</t>
        </is>
      </c>
      <c r="C28" s="7" t="inlineStr">
        <is>
          <t>推广员申请与审核、邀请码/海报/链接关系绑定、二级返佣规则（比例/周期/门槛可配置）、结算发放、团队管理与业绩统计、合规追溯</t>
        </is>
      </c>
      <c r="D28" s="8" t="n"/>
      <c r="E28" s="9" t="n"/>
      <c r="F28" s="10">
        <f>IF(OR(D28="",E28=""),"",D28*E28)</f>
        <v/>
      </c>
      <c r="G28" s="11" t="n"/>
    </row>
    <row r="29">
      <c r="A29" s="6" t="inlineStr">
        <is>
          <t>D2</t>
        </is>
      </c>
      <c r="B29" s="7" t="inlineStr">
        <is>
          <t>中介服务</t>
        </is>
      </c>
      <c r="C29" s="7" t="inlineStr">
        <is>
          <t>服务类目体系、服务需求发布与机构匹配、在线下单、服务商工作台、佣金结算、服务评价</t>
        </is>
      </c>
      <c r="D29" s="8" t="n"/>
      <c r="E29" s="9" t="n"/>
      <c r="F29" s="10">
        <f>IF(OR(D29="",E29=""),"",D29*E29)</f>
        <v/>
      </c>
      <c r="G29" s="11" t="n"/>
    </row>
    <row r="30">
      <c r="A30" s="6" t="inlineStr">
        <is>
          <t>D3</t>
        </is>
      </c>
      <c r="B30" s="7" t="inlineStr">
        <is>
          <t>资质招商</t>
        </is>
      </c>
      <c r="C30" s="7" t="inlineStr">
        <is>
          <t>招商企业列表与资质核验标识、合作模式、委托需求与顾问 1 对 1、委托状态流转</t>
        </is>
      </c>
      <c r="D30" s="8" t="n"/>
      <c r="E30" s="9" t="n"/>
      <c r="F30" s="10">
        <f>IF(OR(D30="",E30=""),"",D30*E30)</f>
        <v/>
      </c>
      <c r="G30" s="11" t="n"/>
    </row>
    <row r="31">
      <c r="A31" s="6" t="inlineStr">
        <is>
          <t>D4</t>
        </is>
      </c>
      <c r="B31" s="7" t="inlineStr">
        <is>
          <t>建企买卖</t>
        </is>
      </c>
      <c r="C31" s="7" t="inlineStr">
        <is>
          <t>出售/求购、信息脱敏、保证金（金额与退还规则可配置）、背调文件、尽调流程、委托需求、电子签意向协议</t>
        </is>
      </c>
      <c r="D31" s="8" t="n"/>
      <c r="E31" s="9" t="n"/>
      <c r="F31" s="10">
        <f>IF(OR(D31="",E31=""),"",D31*E31)</f>
        <v/>
      </c>
      <c r="G31" s="11" t="n"/>
    </row>
    <row r="32">
      <c r="A32" s="6" t="inlineStr">
        <is>
          <t>D5</t>
        </is>
      </c>
      <c r="B32" s="7" t="inlineStr">
        <is>
          <t>人员招聘</t>
        </is>
      </c>
      <c r="C32" s="7" t="inlineStr">
        <is>
          <t>岗位/简历、证书核验（四库一平台）、企业付费查看（价格可配置）、投递与邀约</t>
        </is>
      </c>
      <c r="D32" s="8" t="n"/>
      <c r="E32" s="9" t="n"/>
      <c r="F32" s="10">
        <f>IF(OR(D32="",E32=""),"",D32*E32)</f>
        <v/>
      </c>
      <c r="G32" s="11" t="n"/>
    </row>
    <row r="33">
      <c r="A33" s="6" t="inlineStr">
        <is>
          <t>D6</t>
        </is>
      </c>
      <c r="B33" s="7" t="inlineStr">
        <is>
          <t>活动与拉新</t>
        </is>
      </c>
      <c r="C33" s="7" t="inlineStr">
        <is>
          <t>活动类型与规则配置（注册有礼、充值返利、拉新奖励等）、参与记录、效果统计、活动上下线</t>
        </is>
      </c>
      <c r="D33" s="8" t="n"/>
      <c r="E33" s="9" t="n"/>
      <c r="F33" s="10">
        <f>IF(OR(D33="",E33=""),"",D33*E33)</f>
        <v/>
      </c>
      <c r="G33" s="11" t="n"/>
    </row>
    <row r="34">
      <c r="A34" s="12" t="inlineStr">
        <is>
          <t>D 增长与增值 小计</t>
        </is>
      </c>
      <c r="B34" s="12" t="n"/>
      <c r="C34" s="12" t="n"/>
      <c r="D34" s="13">
        <f>SUM(D28:D33)</f>
        <v/>
      </c>
      <c r="E34" s="14">
        <f>ROUND(SUM(F28:F33)/IF(SUM(D28:D33)=0,1,SUM(D28:D33)),0)</f>
        <v/>
      </c>
      <c r="F34" s="14">
        <f>SUM(F28:F33)</f>
        <v/>
      </c>
      <c r="G34" s="12" t="n"/>
    </row>
    <row r="35">
      <c r="A35" s="6" t="inlineStr">
        <is>
          <t>E1</t>
        </is>
      </c>
      <c r="B35" s="7" t="inlineStr">
        <is>
          <t>数据总览与经营分析</t>
        </is>
      </c>
      <c r="C35" s="7" t="inlineStr">
        <is>
          <t>核心指标看板、趋势分析（日/周/月、按端筛选）、转化漏斗、排行榜、报表导出与定时报表</t>
        </is>
      </c>
      <c r="D35" s="8" t="n"/>
      <c r="E35" s="9" t="n"/>
      <c r="F35" s="10">
        <f>IF(OR(D35="",E35=""),"",D35*E35)</f>
        <v/>
      </c>
      <c r="G35" s="11" t="n"/>
    </row>
    <row r="36">
      <c r="A36" s="6" t="inlineStr">
        <is>
          <t>E2</t>
        </is>
      </c>
      <c r="B36" s="7" t="inlineStr">
        <is>
          <t>用户运营管理</t>
        </is>
      </c>
      <c r="C36" s="7" t="inlineStr">
        <is>
          <t>用户列表与详情、标签与备注、用户等级与权益、积分调整、人工补偿</t>
        </is>
      </c>
      <c r="D36" s="8" t="n"/>
      <c r="E36" s="9" t="n"/>
      <c r="F36" s="10">
        <f>IF(OR(D36="",E36=""),"",D36*E36)</f>
        <v/>
      </c>
      <c r="G36" s="11" t="n"/>
    </row>
    <row r="37">
      <c r="A37" s="6" t="inlineStr">
        <is>
          <t>E3</t>
        </is>
      </c>
      <c r="B37" s="7" t="inlineStr">
        <is>
          <t>审核管理</t>
        </is>
      </c>
      <c r="C37" s="7" t="inlineStr">
        <is>
          <t>认证审核、入驻审核、信息审核工作台（材料核验/通过/驳回/复审）、审核效率统计</t>
        </is>
      </c>
      <c r="D37" s="8" t="n"/>
      <c r="E37" s="9" t="n"/>
      <c r="F37" s="10">
        <f>IF(OR(D37="",E37=""),"",D37*E37)</f>
        <v/>
      </c>
      <c r="G37" s="11" t="n"/>
    </row>
    <row r="38">
      <c r="A38" s="6" t="inlineStr">
        <is>
          <t>E4</t>
        </is>
      </c>
      <c r="B38" s="7" t="inlineStr">
        <is>
          <t>交易运营管理</t>
        </is>
      </c>
      <c r="C38" s="7" t="inlineStr">
        <is>
          <t>订单管理（筛选/详情/干预）、退款与申诉处理、交易参数配置、渠道对账</t>
        </is>
      </c>
      <c r="D38" s="8" t="n"/>
      <c r="E38" s="9" t="n"/>
      <c r="F38" s="10">
        <f>IF(OR(D38="",E38=""),"",D38*E38)</f>
        <v/>
      </c>
      <c r="G38" s="11" t="n"/>
    </row>
    <row r="39">
      <c r="A39" s="6" t="inlineStr">
        <is>
          <t>E5</t>
        </is>
      </c>
      <c r="B39" s="7" t="inlineStr">
        <is>
          <t>内容运营管理</t>
        </is>
      </c>
      <c r="C39" s="7" t="inlineStr">
        <is>
          <t>类目与字段配置、运营位管理、活动管理、资讯/帮助/引导内容管理、消息群发</t>
        </is>
      </c>
      <c r="D39" s="8" t="n"/>
      <c r="E39" s="9" t="n"/>
      <c r="F39" s="10">
        <f>IF(OR(D39="",E39=""),"",D39*E39)</f>
        <v/>
      </c>
      <c r="G39" s="11" t="n"/>
    </row>
    <row r="40">
      <c r="A40" s="6" t="inlineStr">
        <is>
          <t>E6</t>
        </is>
      </c>
      <c r="B40" s="7" t="inlineStr">
        <is>
          <t>财务资金管理</t>
        </is>
      </c>
      <c r="C40" s="7" t="inlineStr">
        <is>
          <t>钱包总览、充值/对公审批、提现两级审批、佣金结算批次、积分管理、发票审核、收入看板与报表、资金审计与预警</t>
        </is>
      </c>
      <c r="D40" s="8" t="n"/>
      <c r="E40" s="9" t="n"/>
      <c r="F40" s="10">
        <f>IF(OR(D40="",E40=""),"",D40*E40)</f>
        <v/>
      </c>
      <c r="G40" s="11" t="n"/>
    </row>
    <row r="41">
      <c r="A41" s="6" t="inlineStr">
        <is>
          <t>E7</t>
        </is>
      </c>
      <c r="B41" s="7" t="inlineStr">
        <is>
          <t>分销运营管理</t>
        </is>
      </c>
      <c r="C41" s="7" t="inlineStr">
        <is>
          <t>分销总览、返佣结算批次与发放、团队关系树、推广素材管理</t>
        </is>
      </c>
      <c r="D41" s="8" t="n"/>
      <c r="E41" s="9" t="n"/>
      <c r="F41" s="10">
        <f>IF(OR(D41="",E41=""),"",D41*E41)</f>
        <v/>
      </c>
      <c r="G41" s="11" t="n"/>
    </row>
    <row r="42">
      <c r="A42" s="6" t="inlineStr">
        <is>
          <t>E8</t>
        </is>
      </c>
      <c r="B42" s="7" t="inlineStr">
        <is>
          <t>服务商与中介管理</t>
        </is>
      </c>
      <c r="C42" s="7" t="inlineStr">
        <is>
          <t>服务商入驻审核与资质核验、服务单跟踪、佣金规则与结算、扣罚、评价管理</t>
        </is>
      </c>
      <c r="D42" s="8" t="n"/>
      <c r="E42" s="9" t="n"/>
      <c r="F42" s="10">
        <f>IF(OR(D42="",E42=""),"",D42*E42)</f>
        <v/>
      </c>
      <c r="G42" s="11" t="n"/>
    </row>
    <row r="43">
      <c r="A43" s="6" t="inlineStr">
        <is>
          <t>E9</t>
        </is>
      </c>
      <c r="B43" s="7" t="inlineStr">
        <is>
          <t>项目与企业运营</t>
        </is>
      </c>
      <c r="C43" s="7" t="inlineStr">
        <is>
          <t>企业档案与合作状态、资质管理与到期提醒、委托项目跟进与顾问分配、运营周期、定价与调价、平台公告与规则</t>
        </is>
      </c>
      <c r="D43" s="8" t="n"/>
      <c r="E43" s="9" t="n"/>
      <c r="F43" s="10">
        <f>IF(OR(D43="",E43=""),"",D43*E43)</f>
        <v/>
      </c>
      <c r="G43" s="11" t="n"/>
    </row>
    <row r="44">
      <c r="A44" s="6" t="inlineStr">
        <is>
          <t>E10</t>
        </is>
      </c>
      <c r="B44" s="7" t="inlineStr">
        <is>
          <t>风控与合规</t>
        </is>
      </c>
      <c r="C44" s="7" t="inlineStr">
        <is>
          <t>合规规则配置、审计留痕、操作日志、企业行为监控与预警、风险处置</t>
        </is>
      </c>
      <c r="D44" s="8" t="n"/>
      <c r="E44" s="9" t="n"/>
      <c r="F44" s="10">
        <f>IF(OR(D44="",E44=""),"",D44*E44)</f>
        <v/>
      </c>
      <c r="G44" s="11" t="n"/>
    </row>
    <row r="45">
      <c r="A45" s="6" t="inlineStr">
        <is>
          <t>E11</t>
        </is>
      </c>
      <c r="B45" s="7" t="inlineStr">
        <is>
          <t>系统与客服</t>
        </is>
      </c>
      <c r="C45" s="7" t="inlineStr">
        <is>
          <t>角色权限、后台账号与组织、系统参数与数据字典、客服工单（分配/处理/回复/统计）</t>
        </is>
      </c>
      <c r="D45" s="8" t="n"/>
      <c r="E45" s="9" t="n"/>
      <c r="F45" s="10">
        <f>IF(OR(D45="",E45=""),"",D45*E45)</f>
        <v/>
      </c>
      <c r="G45" s="11" t="n"/>
    </row>
    <row r="46">
      <c r="A46" s="12" t="inlineStr">
        <is>
          <t>E 管理后台 小计</t>
        </is>
      </c>
      <c r="B46" s="12" t="n"/>
      <c r="C46" s="12" t="n"/>
      <c r="D46" s="13">
        <f>SUM(D35:D45)</f>
        <v/>
      </c>
      <c r="E46" s="14">
        <f>ROUND(SUM(F35:F45)/IF(SUM(D35:D45)=0,1,SUM(D35:D45)),0)</f>
        <v/>
      </c>
      <c r="F46" s="14">
        <f>SUM(F35:F45)</f>
        <v/>
      </c>
      <c r="G46" s="12" t="n"/>
    </row>
    <row r="47">
      <c r="A47" s="6" t="inlineStr">
        <is>
          <t>F1</t>
        </is>
      </c>
      <c r="B47" s="7" t="inlineStr">
        <is>
          <t>Web 用户端适配</t>
        </is>
      </c>
      <c r="C47" s="7" t="inlineStr">
        <is>
          <t>PC 与移动端浏览器适配、响应式布局、跨浏览器兼容</t>
        </is>
      </c>
      <c r="D47" s="8" t="n"/>
      <c r="E47" s="9" t="n"/>
      <c r="F47" s="10">
        <f>IF(OR(D47="",E47=""),"",D47*E47)</f>
        <v/>
      </c>
      <c r="G47" s="11" t="n"/>
    </row>
    <row r="48">
      <c r="A48" s="6" t="inlineStr">
        <is>
          <t>F2</t>
        </is>
      </c>
      <c r="B48" s="7" t="inlineStr">
        <is>
          <t>微信小程序</t>
        </is>
      </c>
      <c r="C48" s="7" t="inlineStr">
        <is>
          <t>轻量引流版：注册/登录、活动页、主列表页、详情页、App 跳转/引导下载、分享</t>
        </is>
      </c>
      <c r="D48" s="8" t="n"/>
      <c r="E48" s="9" t="n"/>
      <c r="F48" s="10">
        <f>IF(OR(D48="",E48=""),"",D48*E48)</f>
        <v/>
      </c>
      <c r="G48" s="11" t="n"/>
    </row>
    <row r="49">
      <c r="A49" s="6" t="inlineStr">
        <is>
          <t>F3</t>
        </is>
      </c>
      <c r="B49" s="7" t="inlineStr">
        <is>
          <t>小红书小程序</t>
        </is>
      </c>
      <c r="C49" s="7" t="inlineStr">
        <is>
          <t>轻量引流版：注册/登录、活动页、主列表页、详情页、App 跳转/引导下载、分享</t>
        </is>
      </c>
      <c r="D49" s="8" t="n"/>
      <c r="E49" s="9" t="n"/>
      <c r="F49" s="10">
        <f>IF(OR(D49="",E49=""),"",D49*E49)</f>
        <v/>
      </c>
      <c r="G49" s="11" t="n"/>
    </row>
    <row r="50">
      <c r="A50" s="6" t="inlineStr">
        <is>
          <t>F4</t>
        </is>
      </c>
      <c r="B50" s="7" t="inlineStr">
        <is>
          <t>抖音小程序</t>
        </is>
      </c>
      <c r="C50" s="7" t="inlineStr">
        <is>
          <t>轻量引流版：注册/登录、活动页、主列表页、详情页、App 跳转/引导下载、分享</t>
        </is>
      </c>
      <c r="D50" s="8" t="n"/>
      <c r="E50" s="9" t="n"/>
      <c r="F50" s="10">
        <f>IF(OR(D50="",E50=""),"",D50*E50)</f>
        <v/>
      </c>
      <c r="G50" s="11" t="n"/>
    </row>
    <row r="51">
      <c r="A51" s="6" t="inlineStr">
        <is>
          <t>F5</t>
        </is>
      </c>
      <c r="B51" s="7" t="inlineStr">
        <is>
          <t>支付宝小程序</t>
        </is>
      </c>
      <c r="C51" s="7" t="inlineStr">
        <is>
          <t>轻量引流版：注册/登录、活动页、主列表页、详情页、App 跳转/引导下载、支付宝登录与支付</t>
        </is>
      </c>
      <c r="D51" s="8" t="n"/>
      <c r="E51" s="9" t="n"/>
      <c r="F51" s="10">
        <f>IF(OR(D51="",E51=""),"",D51*E51)</f>
        <v/>
      </c>
      <c r="G51" s="11" t="n"/>
    </row>
    <row r="52">
      <c r="A52" s="6" t="inlineStr">
        <is>
          <t>F6</t>
        </is>
      </c>
      <c r="B52" s="7" t="inlineStr">
        <is>
          <t>Android App</t>
        </is>
      </c>
      <c r="C52" s="7" t="inlineStr">
        <is>
          <t>完整功能、消息推送、应用市场上架支持</t>
        </is>
      </c>
      <c r="D52" s="8" t="n"/>
      <c r="E52" s="9" t="n"/>
      <c r="F52" s="10">
        <f>IF(OR(D52="",E52=""),"",D52*E52)</f>
        <v/>
      </c>
      <c r="G52" s="11" t="n"/>
    </row>
    <row r="53">
      <c r="A53" s="6" t="inlineStr">
        <is>
          <t>F7</t>
        </is>
      </c>
      <c r="B53" s="7" t="inlineStr">
        <is>
          <t>iOS App</t>
        </is>
      </c>
      <c r="C53" s="7" t="inlineStr">
        <is>
          <t>完整功能、消息推送、应用市场上架支持</t>
        </is>
      </c>
      <c r="D53" s="8" t="n"/>
      <c r="E53" s="9" t="n"/>
      <c r="F53" s="10">
        <f>IF(OR(D53="",E53=""),"",D53*E53)</f>
        <v/>
      </c>
      <c r="G53" s="11" t="n"/>
    </row>
    <row r="54">
      <c r="A54" s="6" t="inlineStr">
        <is>
          <t>F8</t>
        </is>
      </c>
      <c r="B54" s="7" t="inlineStr">
        <is>
          <t>鸿蒙 App</t>
        </is>
      </c>
      <c r="C54" s="7" t="inlineStr">
        <is>
          <t>完整功能、消息推送、应用市场上架支持（投标方案中说明实现方式）</t>
        </is>
      </c>
      <c r="D54" s="8" t="n"/>
      <c r="E54" s="9" t="n"/>
      <c r="F54" s="10">
        <f>IF(OR(D54="",E54=""),"",D54*E54)</f>
        <v/>
      </c>
      <c r="G54" s="11" t="n"/>
    </row>
    <row r="55">
      <c r="A55" s="6" t="inlineStr">
        <is>
          <t>F9</t>
        </is>
      </c>
      <c r="B55" s="7" t="inlineStr">
        <is>
          <t>第三方集成</t>
        </is>
      </c>
      <c r="C55" s="7" t="inlineStr">
        <is>
          <t>微信支付、支付宝、短信、实名认证、电子签、证书核验、对象存储/CDN 等接入与联调</t>
        </is>
      </c>
      <c r="D55" s="8" t="n"/>
      <c r="E55" s="9" t="n"/>
      <c r="F55" s="10">
        <f>IF(OR(D55="",E55=""),"",D55*E55)</f>
        <v/>
      </c>
      <c r="G55" s="11" t="n"/>
    </row>
    <row r="56">
      <c r="A56" s="6" t="inlineStr">
        <is>
          <t>F10</t>
        </is>
      </c>
      <c r="B56" s="7" t="inlineStr">
        <is>
          <t>腾讯云部署与运维</t>
        </is>
      </c>
      <c r="C56" s="7" t="inlineStr">
        <is>
          <t>服务器、数据库、缓存、对象存储、CDN、短信、HTTPS、环境分离、灰度与回滚、监控</t>
        </is>
      </c>
      <c r="D56" s="8" t="n"/>
      <c r="E56" s="9" t="n"/>
      <c r="F56" s="10">
        <f>IF(OR(D56="",E56=""),"",D56*E56)</f>
        <v/>
      </c>
      <c r="G56" s="11" t="n"/>
    </row>
    <row r="57">
      <c r="A57" s="12" t="inlineStr">
        <is>
          <t>F 多端与集成 小计</t>
        </is>
      </c>
      <c r="B57" s="12" t="n"/>
      <c r="C57" s="12" t="n"/>
      <c r="D57" s="13">
        <f>SUM(D47:D56)</f>
        <v/>
      </c>
      <c r="E57" s="14">
        <f>ROUND(SUM(F47:F56)/IF(SUM(D47:D56)=0,1,SUM(D47:D56)),0)</f>
        <v/>
      </c>
      <c r="F57" s="14">
        <f>SUM(F47:F56)</f>
        <v/>
      </c>
      <c r="G57" s="12" t="n"/>
    </row>
    <row r="58">
      <c r="A58" s="6" t="inlineStr">
        <is>
          <t>G1</t>
        </is>
      </c>
      <c r="B58" s="7" t="inlineStr">
        <is>
          <t>测试</t>
        </is>
      </c>
      <c r="C58" s="7" t="inlineStr">
        <is>
          <t>功能测试、多端兼容测试、性能测试、安全测试、支付与电子签联调测试</t>
        </is>
      </c>
      <c r="D58" s="8" t="n"/>
      <c r="E58" s="9" t="n"/>
      <c r="F58" s="10">
        <f>IF(OR(D58="",E58=""),"",D58*E58)</f>
        <v/>
      </c>
      <c r="G58" s="11" t="n"/>
    </row>
    <row r="59">
      <c r="A59" s="6" t="inlineStr">
        <is>
          <t>G2</t>
        </is>
      </c>
      <c r="B59" s="7" t="inlineStr">
        <is>
          <t>文档</t>
        </is>
      </c>
      <c r="C59" s="7" t="inlineStr">
        <is>
          <t>接口文档、部署文档、后台操作手册</t>
        </is>
      </c>
      <c r="D59" s="8" t="n"/>
      <c r="E59" s="9" t="n"/>
      <c r="F59" s="10">
        <f>IF(OR(D59="",E59=""),"",D59*E59)</f>
        <v/>
      </c>
      <c r="G59" s="11" t="n"/>
    </row>
    <row r="60">
      <c r="A60" s="6" t="inlineStr">
        <is>
          <t>G3</t>
        </is>
      </c>
      <c r="B60" s="7" t="inlineStr">
        <is>
          <t>验收上线与维护</t>
        </is>
      </c>
      <c r="C60" s="7" t="inlineStr">
        <is>
          <t>上线支持、验收通过后 1 个月免费维护</t>
        </is>
      </c>
      <c r="D60" s="8" t="n"/>
      <c r="E60" s="9" t="n"/>
      <c r="F60" s="10">
        <f>IF(OR(D60="",E60=""),"",D60*E60)</f>
        <v/>
      </c>
      <c r="G60" s="11" t="n"/>
    </row>
    <row r="61">
      <c r="A61" s="12" t="inlineStr">
        <is>
          <t>G 测试与交付 小计</t>
        </is>
      </c>
      <c r="B61" s="12" t="n"/>
      <c r="C61" s="12" t="n"/>
      <c r="D61" s="13">
        <f>SUM(D58:D60)</f>
        <v/>
      </c>
      <c r="E61" s="14">
        <f>ROUND(SUM(F58:F60)/IF(SUM(D58:D60)=0,1,SUM(D58:D60)),0)</f>
        <v/>
      </c>
      <c r="F61" s="14">
        <f>SUM(F58:F60)</f>
        <v/>
      </c>
      <c r="G61" s="12" t="n"/>
    </row>
    <row r="62">
      <c r="A62" s="15" t="inlineStr">
        <is>
          <t>报价总计（含税）</t>
        </is>
      </c>
      <c r="B62" s="15" t="n"/>
      <c r="C62" s="15" t="n"/>
      <c r="D62" s="16">
        <f>D10+D17+D27+D34+D46+D57+D61</f>
        <v/>
      </c>
      <c r="E62" s="17">
        <f>ROUND((F10+F17+F27+F34+F46+F57+F61)/(D10+D17+D27+D34+D46+D57+D61),0)</f>
        <v/>
      </c>
      <c r="F62" s="17">
        <f>F10+F17+F27+F34+F46+F57+F61</f>
        <v/>
      </c>
      <c r="G62" s="15" t="n"/>
    </row>
    <row r="64">
      <c r="A64" s="18" t="inlineStr">
        <is>
          <t>乙方承诺信息</t>
        </is>
      </c>
    </row>
    <row r="65">
      <c r="A65" s="7" t="inlineStr">
        <is>
          <t>承诺总实施周期（天）</t>
        </is>
      </c>
      <c r="B65" s="7" t="n"/>
      <c r="C65" s="8" t="n"/>
      <c r="D65" s="7" t="n"/>
      <c r="E65" s="7" t="n"/>
      <c r="F65" s="7" t="n"/>
      <c r="G65" s="7" t="n"/>
    </row>
    <row r="66">
      <c r="A66" s="7" t="inlineStr">
        <is>
          <t>承诺免费维护期（月）</t>
        </is>
      </c>
      <c r="B66" s="7" t="n"/>
      <c r="C66" s="8" t="n"/>
      <c r="D66" s="7" t="n"/>
      <c r="E66" s="7" t="n"/>
      <c r="F66" s="7" t="n"/>
      <c r="G66" s="7" t="n"/>
    </row>
    <row r="67">
      <c r="A67" s="7" t="inlineStr">
        <is>
          <t>增项人天单价（元/人天）</t>
        </is>
      </c>
      <c r="B67" s="7" t="n"/>
      <c r="C67" s="8" t="n"/>
      <c r="D67" s="7" t="n"/>
      <c r="E67" s="7" t="n"/>
      <c r="F67" s="7" t="n"/>
      <c r="G67" s="7" t="n"/>
    </row>
    <row r="68">
      <c r="A68" s="7" t="inlineStr">
        <is>
          <t>项目负责人与联系方式</t>
        </is>
      </c>
      <c r="B68" s="7" t="n"/>
      <c r="C68" s="8" t="n"/>
      <c r="D68" s="7" t="n"/>
      <c r="E68" s="7" t="n"/>
      <c r="F68" s="7" t="n"/>
      <c r="G68" s="7" t="n"/>
    </row>
  </sheetData>
  <mergeCells count="18">
    <mergeCell ref="A10:C10"/>
    <mergeCell ref="C68:G68"/>
    <mergeCell ref="A1:G1"/>
    <mergeCell ref="C67:G67"/>
    <mergeCell ref="A65:B65"/>
    <mergeCell ref="A46:C46"/>
    <mergeCell ref="C65:G65"/>
    <mergeCell ref="A68:B68"/>
    <mergeCell ref="A61:C61"/>
    <mergeCell ref="C66:G66"/>
    <mergeCell ref="A17:C17"/>
    <mergeCell ref="A27:C27"/>
    <mergeCell ref="A62:C62"/>
    <mergeCell ref="A66:B66"/>
    <mergeCell ref="A64:G64"/>
    <mergeCell ref="A34:C34"/>
    <mergeCell ref="A67:B67"/>
    <mergeCell ref="A57:C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34" customWidth="1" min="4" max="4"/>
  </cols>
  <sheetData>
    <row r="1" ht="26" customHeight="1">
      <c r="A1" s="4" t="inlineStr">
        <is>
          <t>报价汇总（自动汇总，勿修改）</t>
        </is>
      </c>
    </row>
    <row r="2">
      <c r="A2" s="5" t="inlineStr">
        <is>
          <t>分组</t>
        </is>
      </c>
      <c r="B2" s="5" t="inlineStr">
        <is>
          <t>小计人天</t>
        </is>
      </c>
      <c r="C2" s="5" t="inlineStr">
        <is>
          <t>小计金额（元）</t>
        </is>
      </c>
      <c r="D2" s="5" t="inlineStr">
        <is>
          <t>说明</t>
        </is>
      </c>
    </row>
    <row r="3">
      <c r="A3" s="7" t="inlineStr">
        <is>
          <t>A 平台基础</t>
        </is>
      </c>
      <c r="B3" s="19">
        <f>'报价表'!D10</f>
        <v/>
      </c>
      <c r="C3" s="10">
        <f>'报价表'!F10</f>
        <v/>
      </c>
      <c r="D3" s="7" t="inlineStr">
        <is>
          <t>对应需求书模块分组</t>
        </is>
      </c>
    </row>
    <row r="4">
      <c r="A4" s="7" t="inlineStr">
        <is>
          <t>B 信息与内容</t>
        </is>
      </c>
      <c r="B4" s="19">
        <f>'报价表'!D17</f>
        <v/>
      </c>
      <c r="C4" s="10">
        <f>'报价表'!F17</f>
        <v/>
      </c>
      <c r="D4" s="7" t="inlineStr">
        <is>
          <t>对应需求书模块分组</t>
        </is>
      </c>
    </row>
    <row r="5">
      <c r="A5" s="7" t="inlineStr">
        <is>
          <t>C 交易与资金</t>
        </is>
      </c>
      <c r="B5" s="19">
        <f>'报价表'!D27</f>
        <v/>
      </c>
      <c r="C5" s="10">
        <f>'报价表'!F27</f>
        <v/>
      </c>
      <c r="D5" s="7" t="inlineStr">
        <is>
          <t>对应需求书模块分组</t>
        </is>
      </c>
    </row>
    <row r="6">
      <c r="A6" s="7" t="inlineStr">
        <is>
          <t>D 增长与增值</t>
        </is>
      </c>
      <c r="B6" s="19">
        <f>'报价表'!D34</f>
        <v/>
      </c>
      <c r="C6" s="10">
        <f>'报价表'!F34</f>
        <v/>
      </c>
      <c r="D6" s="7" t="inlineStr">
        <is>
          <t>对应需求书模块分组</t>
        </is>
      </c>
    </row>
    <row r="7">
      <c r="A7" s="7" t="inlineStr">
        <is>
          <t>E 管理后台</t>
        </is>
      </c>
      <c r="B7" s="19">
        <f>'报价表'!D46</f>
        <v/>
      </c>
      <c r="C7" s="10">
        <f>'报价表'!F46</f>
        <v/>
      </c>
      <c r="D7" s="7" t="inlineStr">
        <is>
          <t>对应需求书模块分组</t>
        </is>
      </c>
    </row>
    <row r="8">
      <c r="A8" s="7" t="inlineStr">
        <is>
          <t>F 多端与集成</t>
        </is>
      </c>
      <c r="B8" s="19">
        <f>'报价表'!D57</f>
        <v/>
      </c>
      <c r="C8" s="10">
        <f>'报价表'!F57</f>
        <v/>
      </c>
      <c r="D8" s="7" t="inlineStr">
        <is>
          <t>对应需求书模块分组</t>
        </is>
      </c>
    </row>
    <row r="9">
      <c r="A9" s="7" t="inlineStr">
        <is>
          <t>G 测试与交付</t>
        </is>
      </c>
      <c r="B9" s="19">
        <f>'报价表'!D61</f>
        <v/>
      </c>
      <c r="C9" s="10">
        <f>'报价表'!F61</f>
        <v/>
      </c>
      <c r="D9" s="7" t="inlineStr">
        <is>
          <t>对应需求书模块分组</t>
        </is>
      </c>
    </row>
    <row r="10">
      <c r="A10" s="15" t="inlineStr">
        <is>
          <t>总报价（含税）</t>
        </is>
      </c>
      <c r="B10" s="16">
        <f>'报价表'!D62</f>
        <v/>
      </c>
      <c r="C10" s="17">
        <f>'报价表'!F62</f>
        <v/>
      </c>
      <c r="D10" s="15" t="n"/>
    </row>
    <row r="12" ht="30" customHeight="1">
      <c r="A12" s="20" t="inlineStr">
        <is>
          <t>说明：本表为「报价表」工作表的自动汇总。乙方填报报价人天与单价后，本表自动更新，无需手工填写。</t>
        </is>
      </c>
    </row>
  </sheetData>
  <mergeCells count="2">
    <mergeCell ref="A1:D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2026-09-15T03:49:36Z</dcterms:created>
  <dcterms:modified xmlns:dcterms="http://purl.org/dc/terms/" xmlns:xsi="http://www.w3.org/2001/XMLSchema-instance" xsi:type="dcterms:W3CDTF">2026-09-15T03:49:36Z</dcterms:modified>
</cp:coreProperties>
</file>